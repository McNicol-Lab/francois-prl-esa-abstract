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ior/Documents/PRL_experiment_2025/"/>
    </mc:Choice>
  </mc:AlternateContent>
  <xr:revisionPtr revIDLastSave="0" documentId="13_ncr:1_{2D3E95AB-0454-1243-BD02-F26286AB2D21}" xr6:coauthVersionLast="47" xr6:coauthVersionMax="47" xr10:uidLastSave="{00000000-0000-0000-0000-000000000000}"/>
  <bookViews>
    <workbookView xWindow="760" yWindow="980" windowWidth="27640" windowHeight="15980" xr2:uid="{5F1989B6-B5B5-9345-94CA-4D7A6AB384CE}"/>
  </bookViews>
  <sheets>
    <sheet name="25-10-02" sheetId="1" r:id="rId1"/>
    <sheet name="10-13-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1" i="2" l="1"/>
  <c r="R61" i="2"/>
  <c r="Q61" i="2"/>
  <c r="S60" i="2"/>
  <c r="R60" i="2"/>
  <c r="Q60" i="2"/>
  <c r="S59" i="2"/>
  <c r="R59" i="2"/>
  <c r="Q59" i="2"/>
  <c r="S58" i="2"/>
  <c r="R58" i="2"/>
  <c r="Q58" i="2"/>
  <c r="S57" i="2"/>
  <c r="R57" i="2"/>
  <c r="Q57" i="2"/>
  <c r="S56" i="2"/>
  <c r="R56" i="2"/>
  <c r="Q56" i="2"/>
  <c r="S55" i="2"/>
  <c r="R55" i="2"/>
  <c r="Q55" i="2"/>
  <c r="S54" i="2"/>
  <c r="R54" i="2"/>
  <c r="Q54" i="2"/>
  <c r="S53" i="2"/>
  <c r="R53" i="2"/>
  <c r="Q53" i="2"/>
  <c r="S52" i="2"/>
  <c r="R52" i="2"/>
  <c r="Q52" i="2"/>
  <c r="S51" i="2"/>
  <c r="R51" i="2"/>
  <c r="Q51" i="2"/>
  <c r="S50" i="2"/>
  <c r="R50" i="2"/>
  <c r="Q50" i="2"/>
  <c r="S49" i="2"/>
  <c r="R49" i="2"/>
  <c r="Q49" i="2"/>
  <c r="S48" i="2"/>
  <c r="R48" i="2"/>
  <c r="Q48" i="2"/>
  <c r="S47" i="2"/>
  <c r="R47" i="2"/>
  <c r="Q47" i="2"/>
  <c r="S46" i="2"/>
  <c r="R46" i="2"/>
  <c r="Q46" i="2"/>
  <c r="S45" i="2"/>
  <c r="R45" i="2"/>
  <c r="Q45" i="2"/>
  <c r="S44" i="2"/>
  <c r="R44" i="2"/>
  <c r="Q44" i="2"/>
  <c r="S43" i="2"/>
  <c r="R43" i="2"/>
  <c r="Q43" i="2"/>
  <c r="S42" i="2"/>
  <c r="R42" i="2"/>
  <c r="Q42" i="2"/>
  <c r="S41" i="2"/>
  <c r="R41" i="2"/>
  <c r="Q41" i="2"/>
  <c r="S40" i="2"/>
  <c r="R40" i="2"/>
  <c r="Q40" i="2"/>
  <c r="S39" i="2"/>
  <c r="R39" i="2"/>
  <c r="Q39" i="2"/>
  <c r="S38" i="2"/>
  <c r="R38" i="2"/>
  <c r="Q38" i="2"/>
  <c r="S37" i="2"/>
  <c r="R37" i="2"/>
  <c r="Q37" i="2"/>
  <c r="S36" i="2"/>
  <c r="R36" i="2"/>
  <c r="Q36" i="2"/>
  <c r="S35" i="2"/>
  <c r="R35" i="2"/>
  <c r="Q35" i="2"/>
  <c r="S34" i="2"/>
  <c r="R34" i="2"/>
  <c r="Q34" i="2"/>
  <c r="S33" i="2"/>
  <c r="R33" i="2"/>
  <c r="Q33" i="2"/>
  <c r="S32" i="2"/>
  <c r="R32" i="2"/>
  <c r="Q32" i="2"/>
  <c r="S31" i="2"/>
  <c r="R31" i="2"/>
  <c r="Q31" i="2"/>
  <c r="S30" i="2"/>
  <c r="R30" i="2"/>
  <c r="Q30" i="2"/>
  <c r="S29" i="2"/>
  <c r="R29" i="2"/>
  <c r="Q29" i="2"/>
  <c r="S28" i="2"/>
  <c r="R28" i="2"/>
  <c r="Q28" i="2"/>
  <c r="S27" i="2"/>
  <c r="R27" i="2"/>
  <c r="Q27" i="2"/>
  <c r="S26" i="2"/>
  <c r="R26" i="2"/>
  <c r="Q26" i="2"/>
  <c r="S25" i="2"/>
  <c r="R25" i="2"/>
  <c r="Q25" i="2"/>
  <c r="S24" i="2"/>
  <c r="R24" i="2"/>
  <c r="Q24" i="2"/>
  <c r="S23" i="2"/>
  <c r="R23" i="2"/>
  <c r="Q23" i="2"/>
  <c r="S22" i="2"/>
  <c r="R22" i="2"/>
  <c r="Q22" i="2"/>
  <c r="S21" i="2"/>
  <c r="R21" i="2"/>
  <c r="Q21" i="2"/>
  <c r="S20" i="2"/>
  <c r="R20" i="2"/>
  <c r="Q20" i="2"/>
  <c r="S19" i="2"/>
  <c r="R19" i="2"/>
  <c r="Q19" i="2"/>
  <c r="S18" i="2"/>
  <c r="R18" i="2"/>
  <c r="Q18" i="2"/>
  <c r="S17" i="2"/>
  <c r="R17" i="2"/>
  <c r="Q17" i="2"/>
  <c r="S16" i="2"/>
  <c r="R16" i="2"/>
  <c r="Q16" i="2"/>
  <c r="S15" i="2"/>
  <c r="R15" i="2"/>
  <c r="Q15" i="2"/>
  <c r="S14" i="2"/>
  <c r="R14" i="2"/>
  <c r="Q14" i="2"/>
  <c r="S13" i="2"/>
  <c r="R13" i="2"/>
  <c r="Q13" i="2"/>
  <c r="S12" i="2"/>
  <c r="R12" i="2"/>
  <c r="Q12" i="2"/>
  <c r="S11" i="2"/>
  <c r="R11" i="2"/>
  <c r="Q11" i="2"/>
  <c r="S10" i="2"/>
  <c r="R10" i="2"/>
  <c r="Q10" i="2"/>
  <c r="S9" i="2"/>
  <c r="R9" i="2"/>
  <c r="Q9" i="2"/>
  <c r="S8" i="2"/>
  <c r="R8" i="2"/>
  <c r="Q8" i="2"/>
  <c r="S7" i="2"/>
  <c r="R7" i="2"/>
  <c r="Q7" i="2"/>
  <c r="S6" i="2"/>
  <c r="R6" i="2"/>
  <c r="Q6" i="2"/>
  <c r="S5" i="2"/>
  <c r="R5" i="2"/>
  <c r="Q5" i="2"/>
  <c r="S121" i="1"/>
  <c r="R121" i="1"/>
  <c r="Q121" i="1"/>
  <c r="S120" i="1"/>
  <c r="R120" i="1"/>
  <c r="Q120" i="1"/>
  <c r="S119" i="1"/>
  <c r="R119" i="1"/>
  <c r="Q119" i="1"/>
  <c r="S118" i="1"/>
  <c r="R118" i="1"/>
  <c r="Q118" i="1"/>
  <c r="S117" i="1"/>
  <c r="R117" i="1"/>
  <c r="Q117" i="1"/>
  <c r="S116" i="1"/>
  <c r="R116" i="1"/>
  <c r="Q116" i="1"/>
  <c r="S115" i="1"/>
  <c r="R115" i="1"/>
  <c r="Q115" i="1"/>
  <c r="S114" i="1"/>
  <c r="R114" i="1"/>
  <c r="Q114" i="1"/>
  <c r="S113" i="1"/>
  <c r="R113" i="1"/>
  <c r="Q113" i="1"/>
  <c r="S112" i="1"/>
  <c r="R112" i="1"/>
  <c r="Q112" i="1"/>
  <c r="S111" i="1"/>
  <c r="R111" i="1"/>
  <c r="Q111" i="1"/>
  <c r="S110" i="1"/>
  <c r="R110" i="1"/>
  <c r="Q110" i="1"/>
  <c r="S109" i="1"/>
  <c r="R109" i="1"/>
  <c r="Q109" i="1"/>
  <c r="S108" i="1"/>
  <c r="R108" i="1"/>
  <c r="Q108" i="1"/>
  <c r="S107" i="1"/>
  <c r="R107" i="1"/>
  <c r="Q107" i="1"/>
  <c r="S106" i="1"/>
  <c r="R106" i="1"/>
  <c r="Q106" i="1"/>
  <c r="S105" i="1"/>
  <c r="R105" i="1"/>
  <c r="Q105" i="1"/>
  <c r="S104" i="1"/>
  <c r="R104" i="1"/>
  <c r="Q104" i="1"/>
  <c r="S103" i="1"/>
  <c r="R103" i="1"/>
  <c r="Q103" i="1"/>
  <c r="S102" i="1"/>
  <c r="R102" i="1"/>
  <c r="Q102" i="1"/>
  <c r="S101" i="1"/>
  <c r="R101" i="1"/>
  <c r="Q101" i="1"/>
  <c r="S100" i="1"/>
  <c r="R100" i="1"/>
  <c r="Q100" i="1"/>
  <c r="S99" i="1"/>
  <c r="R99" i="1"/>
  <c r="Q99" i="1"/>
  <c r="S98" i="1"/>
  <c r="R98" i="1"/>
  <c r="Q98" i="1"/>
  <c r="S97" i="1"/>
  <c r="R97" i="1"/>
  <c r="Q97" i="1"/>
  <c r="S96" i="1"/>
  <c r="R96" i="1"/>
  <c r="Q96" i="1"/>
  <c r="S95" i="1"/>
  <c r="R95" i="1"/>
  <c r="Q95" i="1"/>
  <c r="S94" i="1"/>
  <c r="R94" i="1"/>
  <c r="Q94" i="1"/>
  <c r="S93" i="1"/>
  <c r="R93" i="1"/>
  <c r="Q93" i="1"/>
  <c r="S92" i="1"/>
  <c r="R92" i="1"/>
  <c r="Q92" i="1"/>
  <c r="S91" i="1"/>
  <c r="R91" i="1"/>
  <c r="Q91" i="1"/>
  <c r="S90" i="1"/>
  <c r="R90" i="1"/>
  <c r="Q90" i="1"/>
  <c r="S89" i="1"/>
  <c r="R89" i="1"/>
  <c r="Q89" i="1"/>
  <c r="S88" i="1"/>
  <c r="R88" i="1"/>
  <c r="Q88" i="1"/>
  <c r="S87" i="1"/>
  <c r="R87" i="1"/>
  <c r="Q87" i="1"/>
  <c r="S86" i="1"/>
  <c r="R86" i="1"/>
  <c r="Q86" i="1"/>
  <c r="S85" i="1"/>
  <c r="R85" i="1"/>
  <c r="Q85" i="1"/>
  <c r="S84" i="1"/>
  <c r="R84" i="1"/>
  <c r="Q84" i="1"/>
  <c r="S83" i="1"/>
  <c r="R83" i="1"/>
  <c r="Q83" i="1"/>
  <c r="S82" i="1"/>
  <c r="R82" i="1"/>
  <c r="Q82" i="1"/>
  <c r="S81" i="1"/>
  <c r="R81" i="1"/>
  <c r="Q81" i="1"/>
  <c r="S80" i="1"/>
  <c r="R80" i="1"/>
  <c r="Q80" i="1"/>
  <c r="S79" i="1"/>
  <c r="R79" i="1"/>
  <c r="Q79" i="1"/>
  <c r="S78" i="1"/>
  <c r="R78" i="1"/>
  <c r="Q78" i="1"/>
  <c r="S77" i="1"/>
  <c r="R77" i="1"/>
  <c r="Q77" i="1"/>
  <c r="S76" i="1"/>
  <c r="R76" i="1"/>
  <c r="Q76" i="1"/>
  <c r="S75" i="1"/>
  <c r="R75" i="1"/>
  <c r="Q75" i="1"/>
  <c r="S74" i="1"/>
  <c r="R74" i="1"/>
  <c r="Q74" i="1"/>
  <c r="S73" i="1"/>
  <c r="R73" i="1"/>
  <c r="Q73" i="1"/>
  <c r="S72" i="1"/>
  <c r="R72" i="1"/>
  <c r="Q72" i="1"/>
  <c r="S71" i="1"/>
  <c r="R71" i="1"/>
  <c r="Q71" i="1"/>
  <c r="S70" i="1"/>
  <c r="R70" i="1"/>
  <c r="Q70" i="1"/>
  <c r="S69" i="1"/>
  <c r="R69" i="1"/>
  <c r="Q69" i="1"/>
  <c r="S68" i="1"/>
  <c r="R68" i="1"/>
  <c r="Q68" i="1"/>
  <c r="S67" i="1"/>
  <c r="R67" i="1"/>
  <c r="Q67" i="1"/>
  <c r="S66" i="1"/>
  <c r="R66" i="1"/>
  <c r="Q66" i="1"/>
  <c r="S65" i="1"/>
  <c r="R65" i="1"/>
  <c r="Q65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2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3" i="1"/>
  <c r="Q2" i="1"/>
</calcChain>
</file>

<file path=xl/sharedStrings.xml><?xml version="1.0" encoding="utf-8"?>
<sst xmlns="http://schemas.openxmlformats.org/spreadsheetml/2006/main" count="1250" uniqueCount="39">
  <si>
    <t>date_collected</t>
  </si>
  <si>
    <t>site</t>
  </si>
  <si>
    <t>ecosystem</t>
  </si>
  <si>
    <t>chamber_no</t>
  </si>
  <si>
    <t>gas</t>
  </si>
  <si>
    <t>slope_ppm_min</t>
  </si>
  <si>
    <t>r2</t>
  </si>
  <si>
    <t>y_intercept</t>
  </si>
  <si>
    <t>flag</t>
  </si>
  <si>
    <t>Comment</t>
  </si>
  <si>
    <t>co2</t>
  </si>
  <si>
    <t>ok</t>
  </si>
  <si>
    <t>2 time ppoint removed</t>
  </si>
  <si>
    <t>ch4</t>
  </si>
  <si>
    <t>n2o</t>
  </si>
  <si>
    <t>1 time point removed</t>
  </si>
  <si>
    <t>bad</t>
  </si>
  <si>
    <t>PRL</t>
  </si>
  <si>
    <t>U1</t>
  </si>
  <si>
    <t>U2</t>
  </si>
  <si>
    <t>U3</t>
  </si>
  <si>
    <t>U4</t>
  </si>
  <si>
    <t xml:space="preserve">ok </t>
  </si>
  <si>
    <t>only 3 points</t>
  </si>
  <si>
    <t>only 4 points</t>
  </si>
  <si>
    <t>chamber_total_vol</t>
  </si>
  <si>
    <t>avg_temp(K)</t>
  </si>
  <si>
    <t>flux</t>
  </si>
  <si>
    <t>unit</t>
  </si>
  <si>
    <t>mol_m2_s</t>
  </si>
  <si>
    <t>co2_flux</t>
  </si>
  <si>
    <t>ch4_flux</t>
  </si>
  <si>
    <t>n2o_flux</t>
  </si>
  <si>
    <t>treatment</t>
  </si>
  <si>
    <t>Di</t>
  </si>
  <si>
    <t>Bi+Dix2</t>
  </si>
  <si>
    <t>Bi+Di</t>
  </si>
  <si>
    <t>Bi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</si>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</sst>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4"/>
      <color rgb="FF595959"/>
      <name val="Aptos Narrow"/>
      <scheme val="minor"/>
    </font>
    <font>
      <sz val="9"/>
      <color rgb="FF595959"/>
      <name val="Aptos Narrow"/>
      <scheme val="minor"/>
    </font>
    <font>
      <sz val="12"/>
      <color rgb="FF000000"/>
      <name val="Aptos Narrow"/>
      <family val="2"/>
      <scheme val="minor"/>
    </font>
    <font>
      <sz val="12"/>
      <color rgb="FF595959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 applyAlignment="1">
      <alignment horizontal="right"/>
    </xf>
    <xf numFmtId="0" fontId="1" fillId="0" borderId="0" xfId="0" applyFont="1" applyAlignment="1">
      <alignment horizontal="center" vertical="center" readingOrder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 readingOrder="1"/>
    </xf>
    <xf numFmtId="0" fontId="2" fillId="0" borderId="0" xfId="0" applyFont="1" applyAlignment="1">
      <alignment horizontal="right" vertical="center" readingOrder="1"/>
    </xf>
    <xf numFmtId="0" fontId="1" fillId="0" borderId="0" xfId="0" applyFont="1"/>
    <xf numFmtId="0" fontId="3" fillId="0" borderId="0" xfId="0" applyFont="1" applyAlignment="1">
      <alignment horizontal="center" vertical="center" readingOrder="1"/>
    </xf>
    <xf numFmtId="0" fontId="4" fillId="0" borderId="0" xfId="0" applyFont="1"/>
    <xf numFmtId="0" fontId="5" fillId="0" borderId="0" xfId="0" applyFont="1" applyAlignment="1">
      <alignment horizontal="center" vertical="center" readingOrder="1"/>
    </xf>
    <xf numFmtId="0" fontId="5" fillId="0" borderId="0" xfId="0" applyFont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54370-D20D-1F40-B7F6-C52116C319A9}">
  <dimension ref="A1:S121"/>
  <sheetViews>
    <sheetView tabSelected="1" workbookViewId="0">
      <selection activeCell="E19" sqref="E19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</row>
    <row r="2" spans="1:19" x14ac:dyDescent="0.2">
      <c r="A2" s="1">
        <v>45932</v>
      </c>
      <c r="B2" t="s">
        <v>17</v>
      </c>
      <c r="C2" t="s">
        <v>18</v>
      </c>
      <c r="D2" t="s">
        <v>34</v>
      </c>
      <c r="E2">
        <v>1</v>
      </c>
      <c r="F2" t="s">
        <v>10</v>
      </c>
      <c r="G2">
        <v>5.4488000000000003</v>
      </c>
      <c r="H2">
        <v>0.94869999999999999</v>
      </c>
      <c r="I2">
        <v>592.95000000000005</v>
      </c>
      <c r="J2" t="s">
        <v>11</v>
      </c>
      <c r="M2">
        <v>1.0380769E-2</v>
      </c>
      <c r="N2">
        <v>294.10000000000002</v>
      </c>
      <c r="P2" t="s">
        <v>29</v>
      </c>
      <c r="Q2">
        <f>(101325*M2/8.314*N2*0.05)*(G2/1000000*60)</f>
        <v>0.60820959285150655</v>
      </c>
      <c r="R2">
        <f>(101325*M2/8.314*N2*0.05)*(G3/1000000*60)</f>
        <v>-2.1096684233030158E-3</v>
      </c>
      <c r="S2">
        <f>(101325*M2/8.314*N2*0.05)*(G4/1000000*60)</f>
        <v>-3.6835480406878052E-4</v>
      </c>
    </row>
    <row r="3" spans="1:19" x14ac:dyDescent="0.2">
      <c r="A3" s="1">
        <v>45932</v>
      </c>
      <c r="B3" t="s">
        <v>17</v>
      </c>
      <c r="C3" t="s">
        <v>18</v>
      </c>
      <c r="D3" t="s">
        <v>34</v>
      </c>
      <c r="E3">
        <v>1</v>
      </c>
      <c r="F3" t="s">
        <v>13</v>
      </c>
      <c r="G3">
        <v>-1.89E-2</v>
      </c>
      <c r="H3">
        <v>0.58460000000000001</v>
      </c>
      <c r="I3">
        <v>3.6049000000000002</v>
      </c>
      <c r="J3" t="s">
        <v>16</v>
      </c>
      <c r="K3" t="s">
        <v>15</v>
      </c>
      <c r="P3" t="s">
        <v>29</v>
      </c>
      <c r="Q3">
        <f>(101325*M3/8.314*N3*0.05)*(G3/1000000*60)</f>
        <v>0</v>
      </c>
      <c r="R3">
        <f t="shared" ref="R3:R61" si="0">(101325*M3/8.314*N3*0.05)*(G4/1000000*60)</f>
        <v>0</v>
      </c>
      <c r="S3">
        <f t="shared" ref="S3:S61" si="1">(101325*M3/8.314*N3*0.05)*(G5/1000000*60)</f>
        <v>0</v>
      </c>
    </row>
    <row r="4" spans="1:19" x14ac:dyDescent="0.2">
      <c r="A4" s="1">
        <v>45932</v>
      </c>
      <c r="B4" t="s">
        <v>17</v>
      </c>
      <c r="C4" t="s">
        <v>18</v>
      </c>
      <c r="D4" t="s">
        <v>34</v>
      </c>
      <c r="E4">
        <v>1</v>
      </c>
      <c r="F4" t="s">
        <v>14</v>
      </c>
      <c r="G4">
        <v>-3.3E-3</v>
      </c>
      <c r="H4">
        <v>0.99990000000000001</v>
      </c>
      <c r="I4">
        <v>0.4113</v>
      </c>
      <c r="K4" t="s">
        <v>15</v>
      </c>
      <c r="P4" t="s">
        <v>29</v>
      </c>
      <c r="Q4">
        <f t="shared" ref="Q4:Q61" si="2">(101325*M4/8.314*N4*0.05)*(G4/1000000*60)</f>
        <v>0</v>
      </c>
      <c r="R4">
        <f t="shared" si="0"/>
        <v>0</v>
      </c>
      <c r="S4">
        <f t="shared" si="1"/>
        <v>0</v>
      </c>
    </row>
    <row r="5" spans="1:19" x14ac:dyDescent="0.2">
      <c r="A5" s="1">
        <v>45932</v>
      </c>
      <c r="B5" t="s">
        <v>17</v>
      </c>
      <c r="C5" t="s">
        <v>18</v>
      </c>
      <c r="D5" t="s">
        <v>35</v>
      </c>
      <c r="E5">
        <v>2</v>
      </c>
      <c r="F5" t="s">
        <v>10</v>
      </c>
      <c r="G5">
        <v>7.7205000000000004</v>
      </c>
      <c r="H5">
        <v>0.99150000000000005</v>
      </c>
      <c r="I5">
        <v>609.20000000000005</v>
      </c>
      <c r="J5" t="s">
        <v>11</v>
      </c>
      <c r="M5">
        <v>1.025713E-2</v>
      </c>
      <c r="N5">
        <v>293.39999999999998</v>
      </c>
      <c r="P5" t="s">
        <v>29</v>
      </c>
      <c r="Q5">
        <f t="shared" si="2"/>
        <v>0.84949190282695608</v>
      </c>
      <c r="R5">
        <f t="shared" si="0"/>
        <v>-2.5086996158868724E-3</v>
      </c>
      <c r="S5">
        <f t="shared" si="1"/>
        <v>4.1811660264781203E-4</v>
      </c>
    </row>
    <row r="6" spans="1:19" x14ac:dyDescent="0.2">
      <c r="A6" s="1">
        <v>45932</v>
      </c>
      <c r="B6" t="s">
        <v>17</v>
      </c>
      <c r="C6" t="s">
        <v>18</v>
      </c>
      <c r="D6" t="s">
        <v>35</v>
      </c>
      <c r="E6">
        <v>2</v>
      </c>
      <c r="F6" t="s">
        <v>13</v>
      </c>
      <c r="G6">
        <v>-2.2800000000000001E-2</v>
      </c>
      <c r="H6">
        <v>0.69589999999999996</v>
      </c>
      <c r="I6">
        <v>3.5381999999999998</v>
      </c>
      <c r="J6" t="s">
        <v>16</v>
      </c>
      <c r="K6" t="s">
        <v>15</v>
      </c>
      <c r="P6" t="s">
        <v>29</v>
      </c>
      <c r="Q6">
        <f t="shared" si="2"/>
        <v>0</v>
      </c>
      <c r="R6">
        <f t="shared" si="0"/>
        <v>0</v>
      </c>
      <c r="S6">
        <f t="shared" si="1"/>
        <v>0</v>
      </c>
    </row>
    <row r="7" spans="1:19" x14ac:dyDescent="0.2">
      <c r="A7" s="1">
        <v>45932</v>
      </c>
      <c r="B7" t="s">
        <v>17</v>
      </c>
      <c r="C7" t="s">
        <v>18</v>
      </c>
      <c r="D7" t="s">
        <v>35</v>
      </c>
      <c r="E7">
        <v>2</v>
      </c>
      <c r="F7" t="s">
        <v>14</v>
      </c>
      <c r="G7">
        <v>3.8E-3</v>
      </c>
      <c r="H7">
        <v>0.42949999999999999</v>
      </c>
      <c r="I7">
        <v>0.37309999999999999</v>
      </c>
      <c r="J7" t="s">
        <v>16</v>
      </c>
      <c r="K7" t="s">
        <v>15</v>
      </c>
      <c r="P7" t="s">
        <v>29</v>
      </c>
      <c r="Q7">
        <f t="shared" si="2"/>
        <v>0</v>
      </c>
      <c r="R7">
        <f t="shared" si="0"/>
        <v>0</v>
      </c>
      <c r="S7">
        <f t="shared" si="1"/>
        <v>0</v>
      </c>
    </row>
    <row r="8" spans="1:19" x14ac:dyDescent="0.2">
      <c r="A8" s="1">
        <v>45932</v>
      </c>
      <c r="B8" t="s">
        <v>17</v>
      </c>
      <c r="C8" t="s">
        <v>18</v>
      </c>
      <c r="D8" t="s">
        <v>36</v>
      </c>
      <c r="E8">
        <v>3</v>
      </c>
      <c r="F8" t="s">
        <v>10</v>
      </c>
      <c r="G8">
        <v>6.3383000000000003</v>
      </c>
      <c r="H8">
        <v>0.91930000000000001</v>
      </c>
      <c r="I8">
        <v>591.04</v>
      </c>
      <c r="J8" t="s">
        <v>11</v>
      </c>
      <c r="K8" t="s">
        <v>15</v>
      </c>
      <c r="M8">
        <v>1.025713E-2</v>
      </c>
      <c r="N8">
        <v>292.8</v>
      </c>
      <c r="P8" t="s">
        <v>29</v>
      </c>
      <c r="Q8">
        <f t="shared" si="2"/>
        <v>0.69598129896166305</v>
      </c>
      <c r="R8">
        <f t="shared" si="0"/>
        <v>-3.5137815450157332E-3</v>
      </c>
      <c r="S8">
        <f t="shared" si="1"/>
        <v>7.5765914564401729E-4</v>
      </c>
    </row>
    <row r="9" spans="1:19" x14ac:dyDescent="0.2">
      <c r="A9" s="1">
        <v>45932</v>
      </c>
      <c r="B9" t="s">
        <v>17</v>
      </c>
      <c r="C9" t="s">
        <v>18</v>
      </c>
      <c r="D9" t="s">
        <v>36</v>
      </c>
      <c r="E9">
        <v>3</v>
      </c>
      <c r="F9" t="s">
        <v>13</v>
      </c>
      <c r="G9">
        <v>-3.2000000000000001E-2</v>
      </c>
      <c r="H9">
        <v>0.94210000000000005</v>
      </c>
      <c r="I9">
        <v>3.5291999999999999</v>
      </c>
      <c r="J9" t="s">
        <v>11</v>
      </c>
      <c r="K9" t="s">
        <v>15</v>
      </c>
      <c r="P9" t="s">
        <v>29</v>
      </c>
      <c r="Q9">
        <f t="shared" si="2"/>
        <v>0</v>
      </c>
      <c r="R9">
        <f t="shared" si="0"/>
        <v>0</v>
      </c>
      <c r="S9">
        <f t="shared" si="1"/>
        <v>0</v>
      </c>
    </row>
    <row r="10" spans="1:19" x14ac:dyDescent="0.2">
      <c r="A10" s="1">
        <v>45932</v>
      </c>
      <c r="B10" t="s">
        <v>17</v>
      </c>
      <c r="C10" t="s">
        <v>18</v>
      </c>
      <c r="D10" t="s">
        <v>36</v>
      </c>
      <c r="E10">
        <v>3</v>
      </c>
      <c r="F10" t="s">
        <v>14</v>
      </c>
      <c r="G10">
        <v>6.8999999999999999E-3</v>
      </c>
      <c r="H10">
        <v>0.99690000000000001</v>
      </c>
      <c r="I10">
        <v>0.35139999999999999</v>
      </c>
      <c r="J10" t="s">
        <v>11</v>
      </c>
      <c r="K10" t="s">
        <v>12</v>
      </c>
      <c r="P10" t="s">
        <v>29</v>
      </c>
      <c r="Q10">
        <f t="shared" si="2"/>
        <v>0</v>
      </c>
      <c r="R10">
        <f t="shared" si="0"/>
        <v>0</v>
      </c>
      <c r="S10">
        <f t="shared" si="1"/>
        <v>0</v>
      </c>
    </row>
    <row r="11" spans="1:19" x14ac:dyDescent="0.2">
      <c r="A11" s="1">
        <v>45932</v>
      </c>
      <c r="B11" t="s">
        <v>17</v>
      </c>
      <c r="C11" t="s">
        <v>18</v>
      </c>
      <c r="D11" t="s">
        <v>37</v>
      </c>
      <c r="E11">
        <v>4</v>
      </c>
      <c r="F11" t="s">
        <v>10</v>
      </c>
      <c r="G11">
        <v>7.6837</v>
      </c>
      <c r="H11">
        <v>0.96360000000000001</v>
      </c>
      <c r="I11">
        <v>555.26</v>
      </c>
      <c r="J11" t="s">
        <v>11</v>
      </c>
      <c r="M11">
        <v>9.5771129999999999E-3</v>
      </c>
      <c r="N11">
        <v>292.8</v>
      </c>
      <c r="P11" t="s">
        <v>29</v>
      </c>
      <c r="Q11">
        <f t="shared" si="2"/>
        <v>0.78777815025306164</v>
      </c>
      <c r="R11">
        <f t="shared" si="0"/>
        <v>-1.9069814795875609E-3</v>
      </c>
      <c r="S11">
        <f t="shared" si="1"/>
        <v>4.2035613259725814E-4</v>
      </c>
    </row>
    <row r="12" spans="1:19" x14ac:dyDescent="0.2">
      <c r="A12" s="1">
        <v>45932</v>
      </c>
      <c r="B12" t="s">
        <v>17</v>
      </c>
      <c r="C12" t="s">
        <v>18</v>
      </c>
      <c r="D12" t="s">
        <v>37</v>
      </c>
      <c r="E12">
        <v>4</v>
      </c>
      <c r="F12" t="s">
        <v>13</v>
      </c>
      <c r="G12">
        <v>-1.8599999999999998E-2</v>
      </c>
      <c r="H12">
        <v>0.89710000000000001</v>
      </c>
      <c r="I12">
        <v>3.5013999999999998</v>
      </c>
      <c r="J12" t="s">
        <v>11</v>
      </c>
      <c r="K12" t="s">
        <v>15</v>
      </c>
      <c r="P12" t="s">
        <v>29</v>
      </c>
      <c r="Q12">
        <f t="shared" si="2"/>
        <v>0</v>
      </c>
      <c r="R12">
        <f t="shared" si="0"/>
        <v>0</v>
      </c>
      <c r="S12">
        <f t="shared" si="1"/>
        <v>0</v>
      </c>
    </row>
    <row r="13" spans="1:19" x14ac:dyDescent="0.2">
      <c r="A13" s="1">
        <v>45932</v>
      </c>
      <c r="B13" t="s">
        <v>17</v>
      </c>
      <c r="C13" t="s">
        <v>18</v>
      </c>
      <c r="D13" t="s">
        <v>37</v>
      </c>
      <c r="E13">
        <v>4</v>
      </c>
      <c r="F13" t="s">
        <v>14</v>
      </c>
      <c r="G13">
        <v>4.1000000000000003E-3</v>
      </c>
      <c r="H13">
        <v>0.9919</v>
      </c>
      <c r="I13">
        <v>0.30199999999999999</v>
      </c>
      <c r="J13" t="s">
        <v>11</v>
      </c>
      <c r="K13" t="s">
        <v>12</v>
      </c>
      <c r="P13" t="s">
        <v>29</v>
      </c>
      <c r="Q13">
        <f t="shared" si="2"/>
        <v>0</v>
      </c>
      <c r="R13">
        <f t="shared" si="0"/>
        <v>0</v>
      </c>
      <c r="S13">
        <f t="shared" si="1"/>
        <v>0</v>
      </c>
    </row>
    <row r="14" spans="1:19" x14ac:dyDescent="0.2">
      <c r="A14" s="1">
        <v>45932</v>
      </c>
      <c r="B14" t="s">
        <v>17</v>
      </c>
      <c r="C14" t="s">
        <v>18</v>
      </c>
      <c r="D14" t="s">
        <v>38</v>
      </c>
      <c r="E14">
        <v>5</v>
      </c>
      <c r="F14" t="s">
        <v>10</v>
      </c>
      <c r="G14">
        <v>10.130000000000001</v>
      </c>
      <c r="H14">
        <v>0.90210000000000001</v>
      </c>
      <c r="I14">
        <v>545.67999999999995</v>
      </c>
      <c r="J14" t="s">
        <v>11</v>
      </c>
      <c r="M14">
        <v>1.013349E-2</v>
      </c>
      <c r="N14">
        <v>293.39999999999998</v>
      </c>
      <c r="P14" t="s">
        <v>29</v>
      </c>
      <c r="Q14">
        <f t="shared" si="2"/>
        <v>1.1011752587605761</v>
      </c>
      <c r="R14">
        <f t="shared" si="0"/>
        <v>1.5870837885394284E-3</v>
      </c>
      <c r="S14">
        <f t="shared" si="1"/>
        <v>4.0220616558875929E-4</v>
      </c>
    </row>
    <row r="15" spans="1:19" x14ac:dyDescent="0.2">
      <c r="A15" s="1">
        <v>45932</v>
      </c>
      <c r="B15" t="s">
        <v>17</v>
      </c>
      <c r="C15" t="s">
        <v>18</v>
      </c>
      <c r="D15" t="s">
        <v>38</v>
      </c>
      <c r="E15">
        <v>5</v>
      </c>
      <c r="F15" t="s">
        <v>13</v>
      </c>
      <c r="G15">
        <v>1.46E-2</v>
      </c>
      <c r="H15">
        <v>0.99729999999999996</v>
      </c>
      <c r="I15">
        <v>2.9857999999999998</v>
      </c>
      <c r="J15" t="s">
        <v>11</v>
      </c>
      <c r="K15" t="s">
        <v>12</v>
      </c>
      <c r="P15" t="s">
        <v>29</v>
      </c>
      <c r="Q15">
        <f t="shared" si="2"/>
        <v>0</v>
      </c>
      <c r="R15">
        <f t="shared" si="0"/>
        <v>0</v>
      </c>
      <c r="S15">
        <f t="shared" si="1"/>
        <v>0</v>
      </c>
    </row>
    <row r="16" spans="1:19" x14ac:dyDescent="0.2">
      <c r="A16" s="1">
        <v>45932</v>
      </c>
      <c r="B16" t="s">
        <v>17</v>
      </c>
      <c r="C16" t="s">
        <v>18</v>
      </c>
      <c r="D16" t="s">
        <v>38</v>
      </c>
      <c r="E16">
        <v>5</v>
      </c>
      <c r="F16" t="s">
        <v>14</v>
      </c>
      <c r="G16">
        <v>3.7000000000000002E-3</v>
      </c>
      <c r="H16">
        <v>1</v>
      </c>
      <c r="I16">
        <v>0.3478</v>
      </c>
      <c r="J16" t="s">
        <v>11</v>
      </c>
      <c r="K16" t="s">
        <v>12</v>
      </c>
      <c r="P16" t="s">
        <v>29</v>
      </c>
      <c r="Q16">
        <f t="shared" si="2"/>
        <v>0</v>
      </c>
      <c r="R16">
        <f t="shared" si="0"/>
        <v>0</v>
      </c>
      <c r="S16">
        <f t="shared" si="1"/>
        <v>0</v>
      </c>
    </row>
    <row r="17" spans="1:19" x14ac:dyDescent="0.2">
      <c r="A17" s="1">
        <v>45932</v>
      </c>
      <c r="B17" t="s">
        <v>17</v>
      </c>
      <c r="C17" t="s">
        <v>19</v>
      </c>
      <c r="D17" t="s">
        <v>35</v>
      </c>
      <c r="E17">
        <v>1</v>
      </c>
      <c r="F17" t="s">
        <v>10</v>
      </c>
      <c r="G17" s="2">
        <v>11.334</v>
      </c>
      <c r="H17" s="2">
        <v>0.99380000000000002</v>
      </c>
      <c r="I17" s="3">
        <v>569.05999999999995</v>
      </c>
      <c r="J17" t="s">
        <v>11</v>
      </c>
      <c r="K17" t="s">
        <v>15</v>
      </c>
      <c r="M17">
        <v>9.8862110000000007E-3</v>
      </c>
      <c r="N17">
        <v>292.7</v>
      </c>
      <c r="P17" t="s">
        <v>29</v>
      </c>
      <c r="Q17">
        <f t="shared" si="2"/>
        <v>1.1991227788002667</v>
      </c>
      <c r="R17">
        <f t="shared" si="0"/>
        <v>-2.6026486993547347E-3</v>
      </c>
      <c r="S17">
        <f t="shared" si="1"/>
        <v>-2.6449681904011527E-4</v>
      </c>
    </row>
    <row r="18" spans="1:19" x14ac:dyDescent="0.2">
      <c r="A18" s="1">
        <v>45932</v>
      </c>
      <c r="B18" t="s">
        <v>17</v>
      </c>
      <c r="C18" t="s">
        <v>19</v>
      </c>
      <c r="D18" t="s">
        <v>35</v>
      </c>
      <c r="E18">
        <v>1</v>
      </c>
      <c r="F18" t="s">
        <v>13</v>
      </c>
      <c r="G18" s="2">
        <v>-2.46E-2</v>
      </c>
      <c r="H18" s="2">
        <v>0.93169999999999997</v>
      </c>
      <c r="I18" s="3">
        <v>3.6941000000000002</v>
      </c>
      <c r="J18" t="s">
        <v>11</v>
      </c>
      <c r="K18" t="s">
        <v>12</v>
      </c>
      <c r="P18" t="s">
        <v>29</v>
      </c>
      <c r="Q18">
        <f t="shared" si="2"/>
        <v>0</v>
      </c>
      <c r="R18">
        <f t="shared" si="0"/>
        <v>0</v>
      </c>
      <c r="S18">
        <f t="shared" si="1"/>
        <v>0</v>
      </c>
    </row>
    <row r="19" spans="1:19" x14ac:dyDescent="0.2">
      <c r="A19" s="1">
        <v>45932</v>
      </c>
      <c r="B19" t="s">
        <v>17</v>
      </c>
      <c r="C19" t="s">
        <v>19</v>
      </c>
      <c r="D19" t="s">
        <v>35</v>
      </c>
      <c r="E19">
        <v>1</v>
      </c>
      <c r="F19" t="s">
        <v>14</v>
      </c>
      <c r="G19" s="2">
        <v>-2.5000000000000001E-3</v>
      </c>
      <c r="H19" s="2">
        <v>0.99350000000000005</v>
      </c>
      <c r="I19" s="4">
        <v>0.41170000000000001</v>
      </c>
      <c r="J19" t="s">
        <v>11</v>
      </c>
      <c r="K19" t="s">
        <v>12</v>
      </c>
      <c r="P19" t="s">
        <v>29</v>
      </c>
      <c r="Q19">
        <f t="shared" si="2"/>
        <v>0</v>
      </c>
      <c r="R19">
        <f t="shared" si="0"/>
        <v>0</v>
      </c>
      <c r="S19">
        <f t="shared" si="1"/>
        <v>0</v>
      </c>
    </row>
    <row r="20" spans="1:19" x14ac:dyDescent="0.2">
      <c r="A20" s="1">
        <v>45932</v>
      </c>
      <c r="B20" t="s">
        <v>17</v>
      </c>
      <c r="C20" t="s">
        <v>19</v>
      </c>
      <c r="D20" t="s">
        <v>37</v>
      </c>
      <c r="E20">
        <v>2</v>
      </c>
      <c r="F20" t="s">
        <v>10</v>
      </c>
      <c r="G20" s="2">
        <v>8.7788000000000004</v>
      </c>
      <c r="H20" s="2">
        <v>0.99809999999999999</v>
      </c>
      <c r="I20" s="4">
        <v>531.30999999999995</v>
      </c>
      <c r="J20" t="s">
        <v>11</v>
      </c>
      <c r="K20" t="s">
        <v>15</v>
      </c>
      <c r="M20">
        <v>1.0071671000000001E-2</v>
      </c>
      <c r="N20">
        <v>292.85000000000002</v>
      </c>
      <c r="P20" t="s">
        <v>29</v>
      </c>
      <c r="Q20">
        <f t="shared" si="2"/>
        <v>0.94669429729765109</v>
      </c>
      <c r="R20">
        <f t="shared" si="0"/>
        <v>4.1582599106708695E-2</v>
      </c>
      <c r="S20">
        <f t="shared" si="1"/>
        <v>-1.7793383953856158E-3</v>
      </c>
    </row>
    <row r="21" spans="1:19" x14ac:dyDescent="0.2">
      <c r="A21" s="1">
        <v>45932</v>
      </c>
      <c r="B21" t="s">
        <v>17</v>
      </c>
      <c r="C21" t="s">
        <v>19</v>
      </c>
      <c r="D21" t="s">
        <v>37</v>
      </c>
      <c r="E21">
        <v>2</v>
      </c>
      <c r="F21" t="s">
        <v>13</v>
      </c>
      <c r="G21" s="2">
        <v>0.3856</v>
      </c>
      <c r="H21" s="2">
        <v>0.97289999999999999</v>
      </c>
      <c r="I21" s="4">
        <v>2.0943000000000001</v>
      </c>
      <c r="J21" t="s">
        <v>11</v>
      </c>
      <c r="K21" t="s">
        <v>12</v>
      </c>
      <c r="P21" t="s">
        <v>29</v>
      </c>
      <c r="Q21">
        <f t="shared" si="2"/>
        <v>0</v>
      </c>
      <c r="R21">
        <f t="shared" si="0"/>
        <v>0</v>
      </c>
      <c r="S21">
        <f t="shared" si="1"/>
        <v>0</v>
      </c>
    </row>
    <row r="22" spans="1:19" x14ac:dyDescent="0.2">
      <c r="A22" s="1">
        <v>45932</v>
      </c>
      <c r="B22" t="s">
        <v>17</v>
      </c>
      <c r="C22" t="s">
        <v>19</v>
      </c>
      <c r="D22" t="s">
        <v>37</v>
      </c>
      <c r="E22">
        <v>2</v>
      </c>
      <c r="F22" t="s">
        <v>14</v>
      </c>
      <c r="G22" s="2">
        <v>-1.6500000000000001E-2</v>
      </c>
      <c r="H22" s="2">
        <v>0.81159999999999999</v>
      </c>
      <c r="I22" s="4">
        <v>0.54500000000000004</v>
      </c>
      <c r="J22" t="s">
        <v>16</v>
      </c>
      <c r="K22" t="s">
        <v>12</v>
      </c>
      <c r="P22" t="s">
        <v>29</v>
      </c>
      <c r="Q22">
        <f t="shared" si="2"/>
        <v>0</v>
      </c>
      <c r="R22">
        <f t="shared" si="0"/>
        <v>0</v>
      </c>
      <c r="S22">
        <f t="shared" si="1"/>
        <v>0</v>
      </c>
    </row>
    <row r="23" spans="1:19" x14ac:dyDescent="0.2">
      <c r="A23" s="1">
        <v>45932</v>
      </c>
      <c r="B23" t="s">
        <v>17</v>
      </c>
      <c r="C23" t="s">
        <v>19</v>
      </c>
      <c r="D23" t="s">
        <v>38</v>
      </c>
      <c r="E23">
        <v>3</v>
      </c>
      <c r="F23" t="s">
        <v>10</v>
      </c>
      <c r="G23" s="2">
        <v>7.9409999999999998</v>
      </c>
      <c r="H23" s="4">
        <v>0.99099999999999999</v>
      </c>
      <c r="I23" s="4">
        <v>523.33000000000004</v>
      </c>
      <c r="J23" t="s">
        <v>11</v>
      </c>
      <c r="K23" t="s">
        <v>15</v>
      </c>
      <c r="M23">
        <v>1.0764052E-2</v>
      </c>
      <c r="N23">
        <v>292.8</v>
      </c>
      <c r="P23" t="s">
        <v>29</v>
      </c>
      <c r="Q23">
        <f t="shared" si="2"/>
        <v>0.91506069750003549</v>
      </c>
      <c r="R23">
        <f t="shared" si="0"/>
        <v>2.8577641730261781E-3</v>
      </c>
      <c r="S23">
        <f t="shared" si="1"/>
        <v>2.0741836739706133E-4</v>
      </c>
    </row>
    <row r="24" spans="1:19" x14ac:dyDescent="0.2">
      <c r="A24" s="1">
        <v>45932</v>
      </c>
      <c r="B24" t="s">
        <v>17</v>
      </c>
      <c r="C24" t="s">
        <v>19</v>
      </c>
      <c r="D24" t="s">
        <v>38</v>
      </c>
      <c r="E24">
        <v>3</v>
      </c>
      <c r="F24" t="s">
        <v>13</v>
      </c>
      <c r="G24" s="2">
        <v>2.4799999999999999E-2</v>
      </c>
      <c r="H24" s="2">
        <v>0.90249999999999997</v>
      </c>
      <c r="I24" s="4">
        <v>3.0373999999999999</v>
      </c>
      <c r="J24" t="s">
        <v>16</v>
      </c>
      <c r="K24" t="s">
        <v>12</v>
      </c>
      <c r="P24" t="s">
        <v>29</v>
      </c>
      <c r="Q24">
        <f t="shared" si="2"/>
        <v>0</v>
      </c>
      <c r="R24">
        <f t="shared" si="0"/>
        <v>0</v>
      </c>
      <c r="S24">
        <f t="shared" si="1"/>
        <v>0</v>
      </c>
    </row>
    <row r="25" spans="1:19" x14ac:dyDescent="0.2">
      <c r="A25" s="1">
        <v>45932</v>
      </c>
      <c r="B25" t="s">
        <v>17</v>
      </c>
      <c r="C25" t="s">
        <v>19</v>
      </c>
      <c r="D25" t="s">
        <v>38</v>
      </c>
      <c r="E25">
        <v>3</v>
      </c>
      <c r="F25" t="s">
        <v>14</v>
      </c>
      <c r="G25" s="2">
        <v>1.8E-3</v>
      </c>
      <c r="H25" s="4">
        <v>0.97370000000000001</v>
      </c>
      <c r="I25" s="4">
        <v>0.33960000000000001</v>
      </c>
      <c r="J25" t="s">
        <v>11</v>
      </c>
      <c r="K25" t="s">
        <v>12</v>
      </c>
      <c r="P25" t="s">
        <v>29</v>
      </c>
      <c r="Q25">
        <f t="shared" si="2"/>
        <v>0</v>
      </c>
      <c r="R25">
        <f t="shared" si="0"/>
        <v>0</v>
      </c>
      <c r="S25">
        <f t="shared" si="1"/>
        <v>0</v>
      </c>
    </row>
    <row r="26" spans="1:19" x14ac:dyDescent="0.2">
      <c r="A26" s="1">
        <v>45932</v>
      </c>
      <c r="B26" t="s">
        <v>17</v>
      </c>
      <c r="C26" t="s">
        <v>19</v>
      </c>
      <c r="D26" t="s">
        <v>34</v>
      </c>
      <c r="E26">
        <v>4</v>
      </c>
      <c r="F26" t="s">
        <v>10</v>
      </c>
      <c r="G26" s="2">
        <v>12.87</v>
      </c>
      <c r="H26" s="4">
        <v>0.96960000000000002</v>
      </c>
      <c r="I26" s="4">
        <v>539.13</v>
      </c>
      <c r="J26" t="s">
        <v>11</v>
      </c>
      <c r="M26">
        <v>9.9480309999999995E-3</v>
      </c>
      <c r="N26">
        <v>292.75</v>
      </c>
      <c r="P26" t="s">
        <v>29</v>
      </c>
      <c r="Q26">
        <f t="shared" si="2"/>
        <v>1.3703781568017088</v>
      </c>
      <c r="R26">
        <f t="shared" si="0"/>
        <v>1.9485563534942718E-3</v>
      </c>
      <c r="S26">
        <f t="shared" si="1"/>
        <v>2.6619622315495514E-4</v>
      </c>
    </row>
    <row r="27" spans="1:19" x14ac:dyDescent="0.2">
      <c r="A27" s="1">
        <v>45932</v>
      </c>
      <c r="B27" t="s">
        <v>17</v>
      </c>
      <c r="C27" t="s">
        <v>19</v>
      </c>
      <c r="D27" t="s">
        <v>34</v>
      </c>
      <c r="E27">
        <v>4</v>
      </c>
      <c r="F27" t="s">
        <v>13</v>
      </c>
      <c r="G27" s="2">
        <v>1.83E-2</v>
      </c>
      <c r="H27" s="4">
        <v>0.97599999999999998</v>
      </c>
      <c r="I27" s="4">
        <v>2.8351000000000002</v>
      </c>
      <c r="J27" t="s">
        <v>11</v>
      </c>
      <c r="K27" t="s">
        <v>12</v>
      </c>
      <c r="P27" t="s">
        <v>29</v>
      </c>
      <c r="Q27">
        <f t="shared" si="2"/>
        <v>0</v>
      </c>
      <c r="R27">
        <f t="shared" si="0"/>
        <v>0</v>
      </c>
      <c r="S27">
        <f t="shared" si="1"/>
        <v>0</v>
      </c>
    </row>
    <row r="28" spans="1:19" x14ac:dyDescent="0.2">
      <c r="A28" s="1">
        <v>45932</v>
      </c>
      <c r="B28" t="s">
        <v>17</v>
      </c>
      <c r="C28" t="s">
        <v>19</v>
      </c>
      <c r="D28" t="s">
        <v>34</v>
      </c>
      <c r="E28">
        <v>4</v>
      </c>
      <c r="F28" t="s">
        <v>14</v>
      </c>
      <c r="G28" s="2">
        <v>2.5000000000000001E-3</v>
      </c>
      <c r="H28" s="2">
        <v>0.99299999999999999</v>
      </c>
      <c r="I28" s="4">
        <v>0.31669999999999998</v>
      </c>
      <c r="J28" t="s">
        <v>11</v>
      </c>
      <c r="K28" t="s">
        <v>12</v>
      </c>
      <c r="P28" t="s">
        <v>29</v>
      </c>
      <c r="Q28">
        <f t="shared" si="2"/>
        <v>0</v>
      </c>
      <c r="R28">
        <f t="shared" si="0"/>
        <v>0</v>
      </c>
      <c r="S28">
        <f t="shared" si="1"/>
        <v>0</v>
      </c>
    </row>
    <row r="29" spans="1:19" x14ac:dyDescent="0.2">
      <c r="A29" s="1">
        <v>45932</v>
      </c>
      <c r="B29" t="s">
        <v>17</v>
      </c>
      <c r="C29" t="s">
        <v>19</v>
      </c>
      <c r="D29" t="s">
        <v>36</v>
      </c>
      <c r="E29">
        <v>5</v>
      </c>
      <c r="F29" t="s">
        <v>10</v>
      </c>
      <c r="G29" s="2">
        <v>9.4003999999999994</v>
      </c>
      <c r="H29" s="2">
        <v>0.97589999999999999</v>
      </c>
      <c r="I29" s="4">
        <v>522.28</v>
      </c>
      <c r="J29" t="s">
        <v>11</v>
      </c>
      <c r="K29" t="s">
        <v>15</v>
      </c>
      <c r="M29">
        <v>1.0380769E-2</v>
      </c>
      <c r="N29">
        <v>292.75</v>
      </c>
      <c r="P29" t="s">
        <v>29</v>
      </c>
      <c r="Q29">
        <f t="shared" si="2"/>
        <v>1.0444811617613365</v>
      </c>
      <c r="R29">
        <f t="shared" si="0"/>
        <v>-7.7777202377870679E-4</v>
      </c>
      <c r="S29">
        <f t="shared" si="1"/>
        <v>3.4444189624485585E-4</v>
      </c>
    </row>
    <row r="30" spans="1:19" x14ac:dyDescent="0.2">
      <c r="A30" s="1">
        <v>45932</v>
      </c>
      <c r="B30" t="s">
        <v>17</v>
      </c>
      <c r="C30" t="s">
        <v>19</v>
      </c>
      <c r="D30" t="s">
        <v>36</v>
      </c>
      <c r="E30">
        <v>5</v>
      </c>
      <c r="F30" t="s">
        <v>13</v>
      </c>
      <c r="G30" s="3">
        <v>-7.0000000000000001E-3</v>
      </c>
      <c r="H30" s="4">
        <v>0.99929999999999997</v>
      </c>
      <c r="I30" s="4">
        <v>3.1282000000000001</v>
      </c>
      <c r="J30" t="s">
        <v>11</v>
      </c>
      <c r="K30" t="s">
        <v>12</v>
      </c>
      <c r="P30" t="s">
        <v>29</v>
      </c>
      <c r="Q30">
        <f t="shared" si="2"/>
        <v>0</v>
      </c>
      <c r="R30">
        <f t="shared" si="0"/>
        <v>0</v>
      </c>
      <c r="S30">
        <f t="shared" si="1"/>
        <v>0</v>
      </c>
    </row>
    <row r="31" spans="1:19" x14ac:dyDescent="0.2">
      <c r="A31" s="1">
        <v>45932</v>
      </c>
      <c r="B31" t="s">
        <v>17</v>
      </c>
      <c r="C31" t="s">
        <v>19</v>
      </c>
      <c r="D31" t="s">
        <v>36</v>
      </c>
      <c r="E31">
        <v>5</v>
      </c>
      <c r="F31" t="s">
        <v>14</v>
      </c>
      <c r="G31" s="2">
        <v>3.0999999999999999E-3</v>
      </c>
      <c r="H31" s="4">
        <v>0.99678</v>
      </c>
      <c r="I31" s="4">
        <v>0.32800000000000001</v>
      </c>
      <c r="J31" t="s">
        <v>11</v>
      </c>
      <c r="K31" t="s">
        <v>12</v>
      </c>
      <c r="P31" t="s">
        <v>29</v>
      </c>
      <c r="Q31">
        <f t="shared" si="2"/>
        <v>0</v>
      </c>
      <c r="R31">
        <f t="shared" si="0"/>
        <v>0</v>
      </c>
      <c r="S31">
        <f t="shared" si="1"/>
        <v>0</v>
      </c>
    </row>
    <row r="32" spans="1:19" x14ac:dyDescent="0.2">
      <c r="A32" s="1">
        <v>45932</v>
      </c>
      <c r="B32" t="s">
        <v>17</v>
      </c>
      <c r="C32" t="s">
        <v>20</v>
      </c>
      <c r="D32" t="s">
        <v>36</v>
      </c>
      <c r="E32" s="8">
        <v>1</v>
      </c>
      <c r="F32" t="s">
        <v>10</v>
      </c>
      <c r="G32" s="3">
        <v>10.696</v>
      </c>
      <c r="H32" s="4">
        <v>0.9919</v>
      </c>
      <c r="I32" s="4">
        <v>536.38</v>
      </c>
      <c r="J32" t="s">
        <v>11</v>
      </c>
      <c r="M32">
        <v>1.0442589E-2</v>
      </c>
      <c r="N32">
        <v>291.85000000000002</v>
      </c>
      <c r="P32" t="s">
        <v>29</v>
      </c>
      <c r="Q32">
        <f t="shared" si="2"/>
        <v>1.191837714777171</v>
      </c>
      <c r="R32">
        <f t="shared" si="0"/>
        <v>2.3622811848612595E-3</v>
      </c>
      <c r="S32">
        <f t="shared" si="1"/>
        <v>2.5628522288589131E-4</v>
      </c>
    </row>
    <row r="33" spans="1:19" x14ac:dyDescent="0.2">
      <c r="A33" s="1">
        <v>45932</v>
      </c>
      <c r="B33" t="s">
        <v>17</v>
      </c>
      <c r="C33" t="s">
        <v>20</v>
      </c>
      <c r="D33" t="s">
        <v>36</v>
      </c>
      <c r="E33" s="8">
        <v>1</v>
      </c>
      <c r="F33" t="s">
        <v>13</v>
      </c>
      <c r="G33" s="3">
        <v>2.12E-2</v>
      </c>
      <c r="H33" s="2">
        <v>0.96879999999999999</v>
      </c>
      <c r="I33" s="4">
        <v>3.1421000000000001</v>
      </c>
      <c r="J33" t="s">
        <v>11</v>
      </c>
      <c r="K33" t="s">
        <v>12</v>
      </c>
      <c r="P33" t="s">
        <v>29</v>
      </c>
      <c r="Q33">
        <f t="shared" si="2"/>
        <v>0</v>
      </c>
      <c r="R33">
        <f t="shared" si="0"/>
        <v>0</v>
      </c>
      <c r="S33">
        <f t="shared" si="1"/>
        <v>0</v>
      </c>
    </row>
    <row r="34" spans="1:19" x14ac:dyDescent="0.2">
      <c r="A34" s="1">
        <v>45932</v>
      </c>
      <c r="B34" t="s">
        <v>17</v>
      </c>
      <c r="C34" t="s">
        <v>20</v>
      </c>
      <c r="D34" t="s">
        <v>36</v>
      </c>
      <c r="E34" s="8">
        <v>1</v>
      </c>
      <c r="F34" t="s">
        <v>14</v>
      </c>
      <c r="G34" s="3">
        <v>2.3E-3</v>
      </c>
      <c r="H34" s="4">
        <v>0.91659999999999997</v>
      </c>
      <c r="I34" s="4">
        <v>0.33539999999999998</v>
      </c>
      <c r="J34" t="s">
        <v>11</v>
      </c>
      <c r="P34" t="s">
        <v>29</v>
      </c>
      <c r="Q34">
        <f t="shared" si="2"/>
        <v>0</v>
      </c>
      <c r="R34">
        <f t="shared" si="0"/>
        <v>0</v>
      </c>
      <c r="S34">
        <f t="shared" si="1"/>
        <v>0</v>
      </c>
    </row>
    <row r="35" spans="1:19" x14ac:dyDescent="0.2">
      <c r="A35" s="1">
        <v>45932</v>
      </c>
      <c r="B35" t="s">
        <v>17</v>
      </c>
      <c r="C35" t="s">
        <v>20</v>
      </c>
      <c r="D35" t="s">
        <v>38</v>
      </c>
      <c r="E35" s="8">
        <v>2</v>
      </c>
      <c r="F35" t="s">
        <v>10</v>
      </c>
      <c r="G35" s="3">
        <v>7.1433</v>
      </c>
      <c r="H35" s="4">
        <v>0.98009999999999997</v>
      </c>
      <c r="I35" s="4">
        <v>566.38</v>
      </c>
      <c r="J35" t="s">
        <v>11</v>
      </c>
      <c r="M35">
        <v>1.0195310000000001E-2</v>
      </c>
      <c r="N35">
        <v>291.85000000000002</v>
      </c>
      <c r="P35" t="s">
        <v>29</v>
      </c>
      <c r="Q35">
        <f t="shared" si="2"/>
        <v>0.77711782367817306</v>
      </c>
      <c r="R35">
        <f t="shared" si="0"/>
        <v>-1.3381139293101971E-3</v>
      </c>
      <c r="S35">
        <f t="shared" si="1"/>
        <v>3.9164310126152104E-4</v>
      </c>
    </row>
    <row r="36" spans="1:19" x14ac:dyDescent="0.2">
      <c r="A36" s="1">
        <v>45932</v>
      </c>
      <c r="B36" t="s">
        <v>17</v>
      </c>
      <c r="C36" t="s">
        <v>20</v>
      </c>
      <c r="D36" t="s">
        <v>38</v>
      </c>
      <c r="E36" s="8">
        <v>2</v>
      </c>
      <c r="F36" t="s">
        <v>13</v>
      </c>
      <c r="G36" s="3">
        <v>-1.23E-2</v>
      </c>
      <c r="H36" s="4">
        <v>0.94289999999999996</v>
      </c>
      <c r="I36" s="4">
        <v>3.3367</v>
      </c>
      <c r="J36" t="s">
        <v>11</v>
      </c>
      <c r="K36" t="s">
        <v>12</v>
      </c>
      <c r="P36" t="s">
        <v>29</v>
      </c>
      <c r="Q36">
        <f t="shared" si="2"/>
        <v>0</v>
      </c>
      <c r="R36">
        <f t="shared" si="0"/>
        <v>0</v>
      </c>
      <c r="S36">
        <f t="shared" si="1"/>
        <v>0</v>
      </c>
    </row>
    <row r="37" spans="1:19" x14ac:dyDescent="0.2">
      <c r="A37" s="1">
        <v>45932</v>
      </c>
      <c r="B37" t="s">
        <v>17</v>
      </c>
      <c r="C37" t="s">
        <v>20</v>
      </c>
      <c r="D37" t="s">
        <v>38</v>
      </c>
      <c r="E37" s="8">
        <v>2</v>
      </c>
      <c r="F37" t="s">
        <v>14</v>
      </c>
      <c r="G37" s="4">
        <v>3.5999999999999999E-3</v>
      </c>
      <c r="H37" s="4">
        <v>0.98729999999999996</v>
      </c>
      <c r="I37" s="4">
        <v>0.34260000000000002</v>
      </c>
      <c r="J37" t="s">
        <v>11</v>
      </c>
      <c r="K37" t="s">
        <v>12</v>
      </c>
      <c r="P37" t="s">
        <v>29</v>
      </c>
      <c r="Q37">
        <f t="shared" si="2"/>
        <v>0</v>
      </c>
      <c r="R37">
        <f t="shared" si="0"/>
        <v>0</v>
      </c>
      <c r="S37">
        <f t="shared" si="1"/>
        <v>0</v>
      </c>
    </row>
    <row r="38" spans="1:19" x14ac:dyDescent="0.2">
      <c r="A38" s="1">
        <v>45932</v>
      </c>
      <c r="B38" t="s">
        <v>17</v>
      </c>
      <c r="C38" t="s">
        <v>20</v>
      </c>
      <c r="D38" t="s">
        <v>34</v>
      </c>
      <c r="E38" s="8">
        <v>3</v>
      </c>
      <c r="F38" t="s">
        <v>10</v>
      </c>
      <c r="G38" s="4">
        <v>11.89</v>
      </c>
      <c r="H38" s="4">
        <v>0.96240000000000003</v>
      </c>
      <c r="I38" s="4">
        <v>554.73</v>
      </c>
      <c r="J38" t="s">
        <v>11</v>
      </c>
      <c r="M38">
        <v>1.013349E-2</v>
      </c>
      <c r="N38">
        <v>291.95</v>
      </c>
      <c r="P38" t="s">
        <v>29</v>
      </c>
      <c r="Q38">
        <f t="shared" si="2"/>
        <v>1.2861073625332629</v>
      </c>
      <c r="R38">
        <f t="shared" si="0"/>
        <v>-1.1790218882769185E-3</v>
      </c>
      <c r="S38">
        <f t="shared" si="1"/>
        <v>6.4900287428087264E-5</v>
      </c>
    </row>
    <row r="39" spans="1:19" x14ac:dyDescent="0.2">
      <c r="A39" s="1">
        <v>45932</v>
      </c>
      <c r="B39" t="s">
        <v>17</v>
      </c>
      <c r="C39" t="s">
        <v>20</v>
      </c>
      <c r="D39" t="s">
        <v>34</v>
      </c>
      <c r="E39" s="8">
        <v>3</v>
      </c>
      <c r="F39" t="s">
        <v>13</v>
      </c>
      <c r="G39" s="4">
        <v>-1.09E-2</v>
      </c>
      <c r="H39" s="4">
        <v>0.92779999999999996</v>
      </c>
      <c r="I39" s="4">
        <v>2.984</v>
      </c>
      <c r="J39" t="s">
        <v>16</v>
      </c>
      <c r="K39" t="s">
        <v>12</v>
      </c>
      <c r="P39" t="s">
        <v>29</v>
      </c>
      <c r="Q39">
        <f t="shared" si="2"/>
        <v>0</v>
      </c>
      <c r="R39">
        <f t="shared" si="0"/>
        <v>0</v>
      </c>
      <c r="S39">
        <f t="shared" si="1"/>
        <v>0</v>
      </c>
    </row>
    <row r="40" spans="1:19" ht="19" x14ac:dyDescent="0.2">
      <c r="A40" s="1">
        <v>45932</v>
      </c>
      <c r="B40" t="s">
        <v>17</v>
      </c>
      <c r="C40" t="s">
        <v>20</v>
      </c>
      <c r="D40" t="s">
        <v>34</v>
      </c>
      <c r="E40" s="8">
        <v>3</v>
      </c>
      <c r="F40" t="s">
        <v>14</v>
      </c>
      <c r="G40" s="4">
        <v>5.9999999999999995E-4</v>
      </c>
      <c r="H40" s="4">
        <v>0.94989999999999997</v>
      </c>
      <c r="I40" s="4">
        <v>0.34439999999999998</v>
      </c>
      <c r="J40" s="5" t="s">
        <v>11</v>
      </c>
      <c r="K40" t="s">
        <v>12</v>
      </c>
      <c r="P40" t="s">
        <v>29</v>
      </c>
      <c r="Q40">
        <f t="shared" si="2"/>
        <v>0</v>
      </c>
      <c r="R40">
        <f t="shared" si="0"/>
        <v>0</v>
      </c>
      <c r="S40">
        <f t="shared" si="1"/>
        <v>0</v>
      </c>
    </row>
    <row r="41" spans="1:19" x14ac:dyDescent="0.2">
      <c r="A41" s="1">
        <v>45932</v>
      </c>
      <c r="B41" t="s">
        <v>17</v>
      </c>
      <c r="C41" t="s">
        <v>20</v>
      </c>
      <c r="D41" t="s">
        <v>37</v>
      </c>
      <c r="E41" s="8">
        <v>4</v>
      </c>
      <c r="F41" t="s">
        <v>10</v>
      </c>
      <c r="G41" s="4">
        <v>15.462</v>
      </c>
      <c r="H41" s="4">
        <v>0.99319999999999997</v>
      </c>
      <c r="I41" s="4">
        <v>5312.26</v>
      </c>
      <c r="J41" s="4" t="s">
        <v>11</v>
      </c>
      <c r="M41">
        <v>1.0071671000000001E-2</v>
      </c>
      <c r="N41">
        <v>291.95</v>
      </c>
      <c r="P41" t="s">
        <v>29</v>
      </c>
      <c r="Q41">
        <f t="shared" si="2"/>
        <v>1.6622774990126548</v>
      </c>
      <c r="R41">
        <f t="shared" si="0"/>
        <v>-2.3329078856923172E-3</v>
      </c>
      <c r="S41">
        <f t="shared" si="1"/>
        <v>-1.23633367214109E-3</v>
      </c>
    </row>
    <row r="42" spans="1:19" x14ac:dyDescent="0.2">
      <c r="A42" s="1">
        <v>45932</v>
      </c>
      <c r="B42" t="s">
        <v>17</v>
      </c>
      <c r="C42" t="s">
        <v>20</v>
      </c>
      <c r="D42" t="s">
        <v>37</v>
      </c>
      <c r="E42" s="8">
        <v>4</v>
      </c>
      <c r="F42" t="s">
        <v>13</v>
      </c>
      <c r="G42" s="4">
        <v>-2.1700000000000001E-2</v>
      </c>
      <c r="H42" s="4">
        <v>0.92269999999999996</v>
      </c>
      <c r="I42" s="4">
        <v>3.2452999999999999</v>
      </c>
      <c r="J42" s="4" t="s">
        <v>11</v>
      </c>
      <c r="K42" t="s">
        <v>15</v>
      </c>
      <c r="P42" t="s">
        <v>29</v>
      </c>
      <c r="Q42">
        <f t="shared" si="2"/>
        <v>0</v>
      </c>
      <c r="R42">
        <f t="shared" si="0"/>
        <v>0</v>
      </c>
      <c r="S42">
        <f t="shared" si="1"/>
        <v>0</v>
      </c>
    </row>
    <row r="43" spans="1:19" x14ac:dyDescent="0.2">
      <c r="A43" s="1">
        <v>45932</v>
      </c>
      <c r="B43" t="s">
        <v>17</v>
      </c>
      <c r="C43" t="s">
        <v>20</v>
      </c>
      <c r="D43" t="s">
        <v>37</v>
      </c>
      <c r="E43" s="8">
        <v>4</v>
      </c>
      <c r="F43" t="s">
        <v>14</v>
      </c>
      <c r="G43" s="3">
        <v>-1.15E-2</v>
      </c>
      <c r="H43" s="4">
        <v>0.99990000000000001</v>
      </c>
      <c r="I43" s="4">
        <v>0.4249</v>
      </c>
      <c r="J43" s="2" t="s">
        <v>11</v>
      </c>
      <c r="K43" t="s">
        <v>12</v>
      </c>
      <c r="P43" t="s">
        <v>29</v>
      </c>
      <c r="Q43">
        <f t="shared" si="2"/>
        <v>0</v>
      </c>
      <c r="R43">
        <f t="shared" si="0"/>
        <v>0</v>
      </c>
      <c r="S43">
        <f t="shared" si="1"/>
        <v>0</v>
      </c>
    </row>
    <row r="44" spans="1:19" x14ac:dyDescent="0.2">
      <c r="A44" s="1">
        <v>45932</v>
      </c>
      <c r="B44" t="s">
        <v>17</v>
      </c>
      <c r="C44" t="s">
        <v>20</v>
      </c>
      <c r="D44" t="s">
        <v>35</v>
      </c>
      <c r="E44" s="8">
        <v>5</v>
      </c>
      <c r="F44" t="s">
        <v>10</v>
      </c>
      <c r="G44" s="4">
        <v>11.634</v>
      </c>
      <c r="H44" s="4">
        <v>0.98309999999999997</v>
      </c>
      <c r="I44" s="4">
        <v>544.37</v>
      </c>
      <c r="J44" s="6" t="s">
        <v>11</v>
      </c>
      <c r="K44" t="s">
        <v>15</v>
      </c>
      <c r="M44">
        <v>1.0009851E-2</v>
      </c>
      <c r="N44">
        <v>291.89999999999998</v>
      </c>
      <c r="P44" t="s">
        <v>29</v>
      </c>
      <c r="Q44">
        <f t="shared" si="2"/>
        <v>1.2428497071542335</v>
      </c>
      <c r="R44">
        <f t="shared" si="0"/>
        <v>-1.7519971804477762E-3</v>
      </c>
      <c r="S44">
        <f t="shared" si="1"/>
        <v>2.136581927375337E-4</v>
      </c>
    </row>
    <row r="45" spans="1:19" x14ac:dyDescent="0.2">
      <c r="A45" s="1">
        <v>45932</v>
      </c>
      <c r="B45" t="s">
        <v>17</v>
      </c>
      <c r="C45" t="s">
        <v>20</v>
      </c>
      <c r="D45" t="s">
        <v>35</v>
      </c>
      <c r="E45" s="8">
        <v>5</v>
      </c>
      <c r="F45" t="s">
        <v>13</v>
      </c>
      <c r="G45" s="4">
        <v>-1.6400000000000001E-2</v>
      </c>
      <c r="H45" s="4">
        <v>0.79200000000000004</v>
      </c>
      <c r="I45" s="4">
        <v>3.1772999999999998</v>
      </c>
      <c r="J45" s="2" t="s">
        <v>16</v>
      </c>
      <c r="K45" t="s">
        <v>12</v>
      </c>
      <c r="P45" t="s">
        <v>29</v>
      </c>
      <c r="Q45">
        <f t="shared" si="2"/>
        <v>0</v>
      </c>
      <c r="R45">
        <f t="shared" si="0"/>
        <v>0</v>
      </c>
      <c r="S45">
        <f t="shared" si="1"/>
        <v>0</v>
      </c>
    </row>
    <row r="46" spans="1:19" x14ac:dyDescent="0.2">
      <c r="A46" s="1">
        <v>45932</v>
      </c>
      <c r="B46" t="s">
        <v>17</v>
      </c>
      <c r="C46" t="s">
        <v>20</v>
      </c>
      <c r="D46" t="s">
        <v>35</v>
      </c>
      <c r="E46" s="8">
        <v>5</v>
      </c>
      <c r="F46" t="s">
        <v>14</v>
      </c>
      <c r="G46" s="4">
        <v>2E-3</v>
      </c>
      <c r="H46" s="4">
        <v>0.99219999999999997</v>
      </c>
      <c r="I46" s="4">
        <v>0.3261</v>
      </c>
      <c r="J46" s="2" t="s">
        <v>11</v>
      </c>
      <c r="K46" t="s">
        <v>12</v>
      </c>
      <c r="P46" t="s">
        <v>29</v>
      </c>
      <c r="Q46">
        <f t="shared" si="2"/>
        <v>0</v>
      </c>
      <c r="R46">
        <f t="shared" si="0"/>
        <v>0</v>
      </c>
      <c r="S46">
        <f t="shared" si="1"/>
        <v>0</v>
      </c>
    </row>
    <row r="47" spans="1:19" x14ac:dyDescent="0.2">
      <c r="A47" s="1">
        <v>45932</v>
      </c>
      <c r="B47" t="s">
        <v>17</v>
      </c>
      <c r="C47" t="s">
        <v>21</v>
      </c>
      <c r="D47" t="s">
        <v>36</v>
      </c>
      <c r="E47" s="8">
        <v>1</v>
      </c>
      <c r="F47" t="s">
        <v>10</v>
      </c>
      <c r="G47" s="4">
        <v>7.3943000000000003</v>
      </c>
      <c r="H47" s="4">
        <v>0.96730000000000005</v>
      </c>
      <c r="I47" s="4">
        <v>544.84</v>
      </c>
      <c r="J47" s="2" t="s">
        <v>22</v>
      </c>
      <c r="K47" t="s">
        <v>15</v>
      </c>
      <c r="M47">
        <v>1.025713E-2</v>
      </c>
      <c r="N47">
        <v>293.39999999999998</v>
      </c>
      <c r="P47" t="s">
        <v>29</v>
      </c>
      <c r="Q47">
        <f t="shared" si="2"/>
        <v>0.81359989341018868</v>
      </c>
      <c r="R47">
        <f t="shared" si="0"/>
        <v>-1.1333160545453852E-3</v>
      </c>
      <c r="S47">
        <f t="shared" si="1"/>
        <v>1.1003068490731897E-4</v>
      </c>
    </row>
    <row r="48" spans="1:19" x14ac:dyDescent="0.2">
      <c r="A48" s="1">
        <v>45932</v>
      </c>
      <c r="B48" t="s">
        <v>17</v>
      </c>
      <c r="C48" t="s">
        <v>21</v>
      </c>
      <c r="D48" t="s">
        <v>36</v>
      </c>
      <c r="E48" s="8">
        <v>1</v>
      </c>
      <c r="F48" t="s">
        <v>13</v>
      </c>
      <c r="G48" s="4">
        <v>-1.03E-2</v>
      </c>
      <c r="H48" s="4">
        <v>0.92949999999999999</v>
      </c>
      <c r="I48" s="4">
        <v>3.2873999999999999</v>
      </c>
      <c r="J48" s="2" t="s">
        <v>16</v>
      </c>
      <c r="K48" t="s">
        <v>12</v>
      </c>
      <c r="P48" t="s">
        <v>29</v>
      </c>
      <c r="Q48">
        <f t="shared" si="2"/>
        <v>0</v>
      </c>
      <c r="R48">
        <f t="shared" si="0"/>
        <v>0</v>
      </c>
      <c r="S48">
        <f t="shared" si="1"/>
        <v>0</v>
      </c>
    </row>
    <row r="49" spans="1:19" x14ac:dyDescent="0.2">
      <c r="A49" s="1">
        <v>45932</v>
      </c>
      <c r="B49" t="s">
        <v>17</v>
      </c>
      <c r="C49" t="s">
        <v>21</v>
      </c>
      <c r="D49" t="s">
        <v>36</v>
      </c>
      <c r="E49" s="8">
        <v>1</v>
      </c>
      <c r="F49" t="s">
        <v>14</v>
      </c>
      <c r="G49" s="4">
        <v>1E-3</v>
      </c>
      <c r="H49" s="4">
        <v>0.99960000000000004</v>
      </c>
      <c r="I49" s="4">
        <v>0.3881</v>
      </c>
      <c r="J49" s="2" t="s">
        <v>11</v>
      </c>
      <c r="K49" t="s">
        <v>12</v>
      </c>
      <c r="P49" t="s">
        <v>29</v>
      </c>
      <c r="Q49">
        <f t="shared" si="2"/>
        <v>0</v>
      </c>
      <c r="R49">
        <f t="shared" si="0"/>
        <v>0</v>
      </c>
      <c r="S49">
        <f t="shared" si="1"/>
        <v>0</v>
      </c>
    </row>
    <row r="50" spans="1:19" x14ac:dyDescent="0.2">
      <c r="A50" s="1">
        <v>45932</v>
      </c>
      <c r="B50" t="s">
        <v>17</v>
      </c>
      <c r="C50" t="s">
        <v>21</v>
      </c>
      <c r="D50" t="s">
        <v>37</v>
      </c>
      <c r="E50" s="8">
        <v>2</v>
      </c>
      <c r="F50" t="s">
        <v>10</v>
      </c>
      <c r="G50" s="4">
        <v>12.061999999999999</v>
      </c>
      <c r="H50" s="4">
        <v>0.96779999999999999</v>
      </c>
      <c r="I50" s="4">
        <v>533.25</v>
      </c>
      <c r="J50" s="2" t="s">
        <v>11</v>
      </c>
      <c r="L50" s="7"/>
      <c r="M50">
        <v>1.031895E-2</v>
      </c>
      <c r="N50">
        <v>292.89999999999998</v>
      </c>
      <c r="P50" t="s">
        <v>29</v>
      </c>
      <c r="Q50">
        <f t="shared" si="2"/>
        <v>1.3329137586826598</v>
      </c>
      <c r="R50">
        <f t="shared" si="0"/>
        <v>4.8511784120517966E-3</v>
      </c>
      <c r="S50">
        <f t="shared" si="1"/>
        <v>2.3206092631682852E-4</v>
      </c>
    </row>
    <row r="51" spans="1:19" x14ac:dyDescent="0.2">
      <c r="A51" s="1">
        <v>45932</v>
      </c>
      <c r="B51" t="s">
        <v>17</v>
      </c>
      <c r="C51" t="s">
        <v>21</v>
      </c>
      <c r="D51" t="s">
        <v>37</v>
      </c>
      <c r="E51" s="8">
        <v>2</v>
      </c>
      <c r="F51" t="s">
        <v>13</v>
      </c>
      <c r="G51" s="4">
        <v>4.3900000000000002E-2</v>
      </c>
      <c r="H51" s="4">
        <v>0.97540000000000004</v>
      </c>
      <c r="I51" s="4">
        <v>2.9822000000000002</v>
      </c>
      <c r="J51" s="2" t="s">
        <v>11</v>
      </c>
      <c r="K51" t="s">
        <v>12</v>
      </c>
      <c r="L51" s="7"/>
      <c r="P51" t="s">
        <v>29</v>
      </c>
      <c r="Q51">
        <f t="shared" si="2"/>
        <v>0</v>
      </c>
      <c r="R51">
        <f t="shared" si="0"/>
        <v>0</v>
      </c>
      <c r="S51">
        <f t="shared" si="1"/>
        <v>0</v>
      </c>
    </row>
    <row r="52" spans="1:19" x14ac:dyDescent="0.2">
      <c r="A52" s="1">
        <v>45932</v>
      </c>
      <c r="B52" t="s">
        <v>17</v>
      </c>
      <c r="C52" t="s">
        <v>21</v>
      </c>
      <c r="D52" t="s">
        <v>37</v>
      </c>
      <c r="E52" s="8">
        <v>2</v>
      </c>
      <c r="F52" t="s">
        <v>14</v>
      </c>
      <c r="G52" s="4">
        <v>2.0999999999999999E-3</v>
      </c>
      <c r="H52" s="4">
        <v>0.99880000000000002</v>
      </c>
      <c r="I52" s="4">
        <v>0.33300000000000002</v>
      </c>
      <c r="J52" s="2" t="s">
        <v>11</v>
      </c>
      <c r="K52" t="s">
        <v>12</v>
      </c>
      <c r="L52" s="7"/>
      <c r="P52" t="s">
        <v>29</v>
      </c>
      <c r="Q52">
        <f t="shared" si="2"/>
        <v>0</v>
      </c>
      <c r="R52">
        <f t="shared" si="0"/>
        <v>0</v>
      </c>
      <c r="S52">
        <f t="shared" si="1"/>
        <v>0</v>
      </c>
    </row>
    <row r="53" spans="1:19" x14ac:dyDescent="0.2">
      <c r="A53" s="1">
        <v>45932</v>
      </c>
      <c r="B53" t="s">
        <v>17</v>
      </c>
      <c r="C53" t="s">
        <v>21</v>
      </c>
      <c r="D53" t="s">
        <v>38</v>
      </c>
      <c r="E53" s="8">
        <v>3</v>
      </c>
      <c r="F53" t="s">
        <v>10</v>
      </c>
      <c r="G53" s="4">
        <v>13.372999999999999</v>
      </c>
      <c r="H53" s="4">
        <v>0.94420000000000004</v>
      </c>
      <c r="I53" s="4">
        <v>512.89</v>
      </c>
      <c r="J53" s="2" t="s">
        <v>11</v>
      </c>
      <c r="M53">
        <v>1.0380769E-2</v>
      </c>
      <c r="N53">
        <v>292.89999999999998</v>
      </c>
      <c r="P53" t="s">
        <v>29</v>
      </c>
      <c r="Q53">
        <f t="shared" si="2"/>
        <v>1.4866392342332293</v>
      </c>
      <c r="R53">
        <f t="shared" si="0"/>
        <v>2.6791300041143222E-3</v>
      </c>
      <c r="S53">
        <f t="shared" si="1"/>
        <v>9.3380464873694209E-4</v>
      </c>
    </row>
    <row r="54" spans="1:19" x14ac:dyDescent="0.2">
      <c r="A54" s="1">
        <v>45932</v>
      </c>
      <c r="B54" t="s">
        <v>17</v>
      </c>
      <c r="C54" t="s">
        <v>21</v>
      </c>
      <c r="D54" t="s">
        <v>38</v>
      </c>
      <c r="E54" s="8">
        <v>3</v>
      </c>
      <c r="F54" t="s">
        <v>13</v>
      </c>
      <c r="G54" s="4">
        <v>2.41E-2</v>
      </c>
      <c r="H54" s="4">
        <v>0.99990000000000001</v>
      </c>
      <c r="I54" s="4">
        <v>3.0985</v>
      </c>
      <c r="J54" s="2" t="s">
        <v>11</v>
      </c>
      <c r="K54" t="s">
        <v>12</v>
      </c>
      <c r="P54" t="s">
        <v>29</v>
      </c>
      <c r="Q54">
        <f t="shared" si="2"/>
        <v>0</v>
      </c>
      <c r="R54">
        <f t="shared" si="0"/>
        <v>0</v>
      </c>
      <c r="S54">
        <f t="shared" si="1"/>
        <v>0</v>
      </c>
    </row>
    <row r="55" spans="1:19" x14ac:dyDescent="0.2">
      <c r="A55" s="1">
        <v>45932</v>
      </c>
      <c r="B55" t="s">
        <v>17</v>
      </c>
      <c r="C55" t="s">
        <v>21</v>
      </c>
      <c r="D55" t="s">
        <v>38</v>
      </c>
      <c r="E55" s="8">
        <v>3</v>
      </c>
      <c r="F55" t="s">
        <v>14</v>
      </c>
      <c r="G55" s="4">
        <v>8.3999999999999995E-3</v>
      </c>
      <c r="H55" s="4">
        <v>1</v>
      </c>
      <c r="I55" s="4">
        <v>0.34489999999999998</v>
      </c>
      <c r="J55" s="2" t="s">
        <v>11</v>
      </c>
      <c r="K55" t="s">
        <v>12</v>
      </c>
      <c r="P55" t="s">
        <v>29</v>
      </c>
      <c r="Q55">
        <f t="shared" si="2"/>
        <v>0</v>
      </c>
      <c r="R55">
        <f t="shared" si="0"/>
        <v>0</v>
      </c>
      <c r="S55">
        <f t="shared" si="1"/>
        <v>0</v>
      </c>
    </row>
    <row r="56" spans="1:19" x14ac:dyDescent="0.2">
      <c r="A56" s="1">
        <v>45932</v>
      </c>
      <c r="B56" t="s">
        <v>17</v>
      </c>
      <c r="C56" t="s">
        <v>21</v>
      </c>
      <c r="D56" t="s">
        <v>35</v>
      </c>
      <c r="E56" s="8">
        <v>4</v>
      </c>
      <c r="F56" t="s">
        <v>10</v>
      </c>
      <c r="G56" s="4">
        <v>15.048</v>
      </c>
      <c r="H56" s="4">
        <v>0.99419999999999997</v>
      </c>
      <c r="I56" s="4">
        <v>499.49</v>
      </c>
      <c r="J56" s="2" t="s">
        <v>11</v>
      </c>
      <c r="M56">
        <v>1.031895E-2</v>
      </c>
      <c r="N56">
        <v>293.2</v>
      </c>
      <c r="P56" t="s">
        <v>29</v>
      </c>
      <c r="Q56">
        <f t="shared" si="2"/>
        <v>1.6645854860167206</v>
      </c>
      <c r="R56">
        <f t="shared" si="0"/>
        <v>-1.2831732879980036E-3</v>
      </c>
      <c r="S56">
        <f t="shared" si="1"/>
        <v>2.2123677379275926E-4</v>
      </c>
    </row>
    <row r="57" spans="1:19" x14ac:dyDescent="0.2">
      <c r="A57" s="1">
        <v>45932</v>
      </c>
      <c r="B57" t="s">
        <v>17</v>
      </c>
      <c r="C57" t="s">
        <v>21</v>
      </c>
      <c r="D57" t="s">
        <v>35</v>
      </c>
      <c r="E57" s="8">
        <v>4</v>
      </c>
      <c r="F57" t="s">
        <v>13</v>
      </c>
      <c r="G57" s="4">
        <v>-1.1599999999999999E-2</v>
      </c>
      <c r="H57" s="4">
        <v>0.9919</v>
      </c>
      <c r="I57" s="4">
        <v>3.0821999999999998</v>
      </c>
      <c r="J57" s="2" t="s">
        <v>11</v>
      </c>
      <c r="K57" t="s">
        <v>15</v>
      </c>
      <c r="P57" t="s">
        <v>29</v>
      </c>
      <c r="Q57">
        <f t="shared" si="2"/>
        <v>0</v>
      </c>
      <c r="R57">
        <f t="shared" si="0"/>
        <v>0</v>
      </c>
      <c r="S57">
        <f t="shared" si="1"/>
        <v>0</v>
      </c>
    </row>
    <row r="58" spans="1:19" x14ac:dyDescent="0.2">
      <c r="A58" s="1">
        <v>45932</v>
      </c>
      <c r="B58" t="s">
        <v>17</v>
      </c>
      <c r="C58" t="s">
        <v>21</v>
      </c>
      <c r="D58" t="s">
        <v>35</v>
      </c>
      <c r="E58" s="8">
        <v>4</v>
      </c>
      <c r="F58" t="s">
        <v>14</v>
      </c>
      <c r="G58" s="4">
        <v>2E-3</v>
      </c>
      <c r="H58" s="4">
        <v>0.89790000000000003</v>
      </c>
      <c r="I58" s="4">
        <v>0.34860000000000002</v>
      </c>
      <c r="J58" s="2" t="s">
        <v>11</v>
      </c>
      <c r="K58" t="s">
        <v>15</v>
      </c>
      <c r="N58" s="7"/>
      <c r="P58" t="s">
        <v>29</v>
      </c>
      <c r="Q58">
        <f t="shared" si="2"/>
        <v>0</v>
      </c>
      <c r="R58">
        <f t="shared" si="0"/>
        <v>0</v>
      </c>
      <c r="S58">
        <f t="shared" si="1"/>
        <v>0</v>
      </c>
    </row>
    <row r="59" spans="1:19" x14ac:dyDescent="0.2">
      <c r="A59" s="1">
        <v>45932</v>
      </c>
      <c r="B59" t="s">
        <v>17</v>
      </c>
      <c r="C59" t="s">
        <v>21</v>
      </c>
      <c r="D59" t="s">
        <v>34</v>
      </c>
      <c r="E59" s="8">
        <v>5</v>
      </c>
      <c r="F59" t="s">
        <v>10</v>
      </c>
      <c r="G59" s="4">
        <v>13.042999999999999</v>
      </c>
      <c r="H59" s="4">
        <v>0.97850000000000004</v>
      </c>
      <c r="I59" s="4">
        <v>516.76</v>
      </c>
      <c r="J59" s="2" t="s">
        <v>11</v>
      </c>
      <c r="K59" t="s">
        <v>15</v>
      </c>
      <c r="L59" s="7"/>
      <c r="M59">
        <v>9.8614840000000002E-3</v>
      </c>
      <c r="N59">
        <v>293.2</v>
      </c>
      <c r="P59" t="s">
        <v>29</v>
      </c>
      <c r="Q59">
        <f t="shared" si="2"/>
        <v>1.3788327227823347</v>
      </c>
      <c r="R59">
        <f t="shared" si="0"/>
        <v>-2.9071455858709046E-3</v>
      </c>
      <c r="S59">
        <f t="shared" si="1"/>
        <v>4.6514329373934481E-4</v>
      </c>
    </row>
    <row r="60" spans="1:19" x14ac:dyDescent="0.2">
      <c r="A60" s="1">
        <v>45932</v>
      </c>
      <c r="B60" t="s">
        <v>17</v>
      </c>
      <c r="C60" t="s">
        <v>21</v>
      </c>
      <c r="D60" t="s">
        <v>34</v>
      </c>
      <c r="E60" s="8">
        <v>5</v>
      </c>
      <c r="F60" t="s">
        <v>13</v>
      </c>
      <c r="G60" s="4">
        <v>-2.75E-2</v>
      </c>
      <c r="H60" s="4">
        <v>0.93400000000000005</v>
      </c>
      <c r="I60" s="4">
        <v>3.6179999999999999</v>
      </c>
      <c r="J60" s="2" t="s">
        <v>16</v>
      </c>
      <c r="K60" t="s">
        <v>12</v>
      </c>
      <c r="L60" s="7"/>
      <c r="M60" s="7"/>
      <c r="P60" t="s">
        <v>29</v>
      </c>
      <c r="Q60">
        <f t="shared" si="2"/>
        <v>0</v>
      </c>
      <c r="R60">
        <f t="shared" si="0"/>
        <v>0</v>
      </c>
      <c r="S60">
        <f t="shared" si="1"/>
        <v>0</v>
      </c>
    </row>
    <row r="61" spans="1:19" x14ac:dyDescent="0.2">
      <c r="A61" s="1">
        <v>45932</v>
      </c>
      <c r="B61" t="s">
        <v>17</v>
      </c>
      <c r="C61" t="s">
        <v>21</v>
      </c>
      <c r="D61" t="s">
        <v>34</v>
      </c>
      <c r="E61" s="8">
        <v>5</v>
      </c>
      <c r="F61" t="s">
        <v>14</v>
      </c>
      <c r="G61" s="4">
        <v>4.4000000000000003E-3</v>
      </c>
      <c r="H61" s="4">
        <v>0.88229999999999997</v>
      </c>
      <c r="I61" s="4">
        <v>0.29010000000000002</v>
      </c>
      <c r="J61" s="2" t="s">
        <v>16</v>
      </c>
      <c r="K61" t="s">
        <v>12</v>
      </c>
      <c r="M61" s="7"/>
      <c r="P61" t="s">
        <v>29</v>
      </c>
      <c r="Q61">
        <f t="shared" si="2"/>
        <v>0</v>
      </c>
      <c r="R61">
        <f t="shared" si="0"/>
        <v>0</v>
      </c>
      <c r="S61">
        <f t="shared" si="1"/>
        <v>0</v>
      </c>
    </row>
    <row r="62" spans="1:19" x14ac:dyDescent="0.2">
      <c r="A62" s="1">
        <v>45943</v>
      </c>
      <c r="B62" t="s">
        <v>17</v>
      </c>
      <c r="C62" t="s">
        <v>18</v>
      </c>
      <c r="D62" t="s">
        <v>34</v>
      </c>
      <c r="E62">
        <v>1</v>
      </c>
      <c r="F62" t="s">
        <v>10</v>
      </c>
      <c r="G62">
        <v>0</v>
      </c>
      <c r="H62" s="6">
        <v>0</v>
      </c>
      <c r="I62">
        <v>0</v>
      </c>
      <c r="K62" t="s">
        <v>15</v>
      </c>
      <c r="M62">
        <v>1.0380769E-2</v>
      </c>
      <c r="N62">
        <v>295.45</v>
      </c>
      <c r="P62" t="s">
        <v>29</v>
      </c>
      <c r="Q62">
        <v>0</v>
      </c>
      <c r="R62">
        <v>0</v>
      </c>
      <c r="S62">
        <v>0</v>
      </c>
    </row>
    <row r="63" spans="1:19" x14ac:dyDescent="0.2">
      <c r="A63" s="1">
        <v>45943</v>
      </c>
      <c r="B63" t="s">
        <v>17</v>
      </c>
      <c r="C63" t="s">
        <v>18</v>
      </c>
      <c r="D63" t="s">
        <v>34</v>
      </c>
      <c r="E63">
        <v>1</v>
      </c>
      <c r="F63" t="s">
        <v>13</v>
      </c>
      <c r="G63">
        <v>0</v>
      </c>
      <c r="H63" s="6">
        <v>0</v>
      </c>
      <c r="I63">
        <v>0</v>
      </c>
      <c r="K63" t="s">
        <v>12</v>
      </c>
      <c r="P63" t="s">
        <v>29</v>
      </c>
      <c r="Q63">
        <v>0</v>
      </c>
      <c r="R63">
        <v>0</v>
      </c>
      <c r="S63">
        <v>0</v>
      </c>
    </row>
    <row r="64" spans="1:19" x14ac:dyDescent="0.2">
      <c r="A64" s="1">
        <v>45943</v>
      </c>
      <c r="B64" t="s">
        <v>17</v>
      </c>
      <c r="C64" t="s">
        <v>18</v>
      </c>
      <c r="D64" t="s">
        <v>34</v>
      </c>
      <c r="E64">
        <v>1</v>
      </c>
      <c r="F64" t="s">
        <v>14</v>
      </c>
      <c r="G64">
        <v>0</v>
      </c>
      <c r="H64" s="6">
        <v>0</v>
      </c>
      <c r="I64">
        <v>0</v>
      </c>
      <c r="K64" t="s">
        <v>15</v>
      </c>
      <c r="P64" t="s">
        <v>29</v>
      </c>
      <c r="Q64">
        <v>0</v>
      </c>
      <c r="R64">
        <v>0</v>
      </c>
      <c r="S64">
        <v>0</v>
      </c>
    </row>
    <row r="65" spans="1:19" x14ac:dyDescent="0.2">
      <c r="A65" s="1">
        <v>45943</v>
      </c>
      <c r="B65" t="s">
        <v>17</v>
      </c>
      <c r="C65" t="s">
        <v>18</v>
      </c>
      <c r="D65" t="s">
        <v>35</v>
      </c>
      <c r="E65">
        <v>2</v>
      </c>
      <c r="F65" t="s">
        <v>10</v>
      </c>
      <c r="G65">
        <v>9.8055000000000003</v>
      </c>
      <c r="H65" s="6">
        <v>0.73619999999999997</v>
      </c>
      <c r="I65">
        <v>639.14</v>
      </c>
      <c r="J65" t="s">
        <v>16</v>
      </c>
      <c r="K65" t="s">
        <v>23</v>
      </c>
      <c r="M65">
        <v>1.025713E-2</v>
      </c>
      <c r="N65">
        <v>295.10000000000002</v>
      </c>
      <c r="P65" t="s">
        <v>29</v>
      </c>
      <c r="Q65">
        <f>(101325*M65/8.314*N65*0.05)*(G65/1000000*60)</f>
        <v>1.0851572100934124</v>
      </c>
      <c r="R65">
        <f>(101325*M65/8.314*N65*0.05)*(G66/1000000*60)</f>
        <v>-1.8481592380357951E-3</v>
      </c>
      <c r="S65">
        <f>(101325*M65/8.314*N65*0.05)*(G67/1000000*60)</f>
        <v>5.8654155458621039E-4</v>
      </c>
    </row>
    <row r="66" spans="1:19" x14ac:dyDescent="0.2">
      <c r="A66" s="1">
        <v>45943</v>
      </c>
      <c r="B66" t="s">
        <v>17</v>
      </c>
      <c r="C66" t="s">
        <v>18</v>
      </c>
      <c r="D66" t="s">
        <v>35</v>
      </c>
      <c r="E66">
        <v>2</v>
      </c>
      <c r="F66" t="s">
        <v>13</v>
      </c>
      <c r="G66">
        <v>-1.67E-2</v>
      </c>
      <c r="H66" s="6">
        <v>0.98770000000000002</v>
      </c>
      <c r="I66">
        <v>2.8008000000000002</v>
      </c>
      <c r="J66" t="s">
        <v>11</v>
      </c>
      <c r="K66" t="s">
        <v>23</v>
      </c>
      <c r="P66" t="s">
        <v>29</v>
      </c>
      <c r="Q66">
        <f t="shared" ref="Q66:Q121" si="3">(101325*M66/8.314*N66*0.05)*(G66/1000000*60)</f>
        <v>0</v>
      </c>
      <c r="R66">
        <f t="shared" ref="R66:R121" si="4">(101325*M66/8.314*N66*0.05)*(G67/1000000*60)</f>
        <v>0</v>
      </c>
      <c r="S66">
        <f t="shared" ref="S66:S121" si="5">(101325*M66/8.314*N66*0.05)*(G68/1000000*60)</f>
        <v>0</v>
      </c>
    </row>
    <row r="67" spans="1:19" x14ac:dyDescent="0.2">
      <c r="A67" s="1">
        <v>45943</v>
      </c>
      <c r="B67" t="s">
        <v>17</v>
      </c>
      <c r="C67" t="s">
        <v>18</v>
      </c>
      <c r="D67" t="s">
        <v>35</v>
      </c>
      <c r="E67">
        <v>2</v>
      </c>
      <c r="F67" t="s">
        <v>14</v>
      </c>
      <c r="G67">
        <v>5.3E-3</v>
      </c>
      <c r="H67" s="6">
        <v>0.99250000000000005</v>
      </c>
      <c r="I67">
        <v>0.31069999999999998</v>
      </c>
      <c r="J67" t="s">
        <v>11</v>
      </c>
      <c r="K67" t="s">
        <v>23</v>
      </c>
      <c r="P67" t="s">
        <v>29</v>
      </c>
      <c r="Q67">
        <f t="shared" si="3"/>
        <v>0</v>
      </c>
      <c r="R67">
        <f t="shared" si="4"/>
        <v>0</v>
      </c>
      <c r="S67">
        <f t="shared" si="5"/>
        <v>0</v>
      </c>
    </row>
    <row r="68" spans="1:19" x14ac:dyDescent="0.2">
      <c r="A68" s="1">
        <v>45943</v>
      </c>
      <c r="B68" t="s">
        <v>17</v>
      </c>
      <c r="C68" t="s">
        <v>18</v>
      </c>
      <c r="D68" t="s">
        <v>36</v>
      </c>
      <c r="E68">
        <v>3</v>
      </c>
      <c r="F68" t="s">
        <v>10</v>
      </c>
      <c r="G68">
        <v>21.074999999999999</v>
      </c>
      <c r="H68" s="6">
        <v>0.93600000000000005</v>
      </c>
      <c r="I68">
        <v>619.21</v>
      </c>
      <c r="J68" t="s">
        <v>11</v>
      </c>
      <c r="K68" t="s">
        <v>23</v>
      </c>
      <c r="M68">
        <v>1.025713E-2</v>
      </c>
      <c r="N68">
        <v>295.7</v>
      </c>
      <c r="P68" t="s">
        <v>29</v>
      </c>
      <c r="Q68">
        <f t="shared" si="3"/>
        <v>2.3370748111230766</v>
      </c>
      <c r="R68">
        <f t="shared" si="4"/>
        <v>5.5446614736016056E-5</v>
      </c>
      <c r="S68">
        <f t="shared" si="5"/>
        <v>2.2733112041766583E-3</v>
      </c>
    </row>
    <row r="69" spans="1:19" x14ac:dyDescent="0.2">
      <c r="A69" s="1">
        <v>45943</v>
      </c>
      <c r="B69" t="s">
        <v>17</v>
      </c>
      <c r="C69" t="s">
        <v>18</v>
      </c>
      <c r="D69" t="s">
        <v>36</v>
      </c>
      <c r="E69">
        <v>3</v>
      </c>
      <c r="F69" t="s">
        <v>13</v>
      </c>
      <c r="G69">
        <v>5.0000000000000001E-4</v>
      </c>
      <c r="H69" s="6">
        <v>1.1000000000000001E-3</v>
      </c>
      <c r="I69">
        <v>2.4975000000000001</v>
      </c>
      <c r="J69" t="s">
        <v>16</v>
      </c>
      <c r="K69" t="s">
        <v>23</v>
      </c>
      <c r="P69" t="s">
        <v>29</v>
      </c>
      <c r="Q69">
        <f t="shared" si="3"/>
        <v>0</v>
      </c>
      <c r="R69">
        <f t="shared" si="4"/>
        <v>0</v>
      </c>
      <c r="S69">
        <f t="shared" si="5"/>
        <v>0</v>
      </c>
    </row>
    <row r="70" spans="1:19" x14ac:dyDescent="0.2">
      <c r="A70" s="1">
        <v>45943</v>
      </c>
      <c r="B70" t="s">
        <v>17</v>
      </c>
      <c r="C70" t="s">
        <v>18</v>
      </c>
      <c r="D70" t="s">
        <v>36</v>
      </c>
      <c r="E70">
        <v>3</v>
      </c>
      <c r="F70" t="s">
        <v>14</v>
      </c>
      <c r="G70">
        <v>2.0500000000000001E-2</v>
      </c>
      <c r="H70" s="6">
        <v>0.91830000000000001</v>
      </c>
      <c r="I70">
        <v>0.30330000000000001</v>
      </c>
      <c r="J70" t="s">
        <v>16</v>
      </c>
      <c r="K70" t="s">
        <v>23</v>
      </c>
      <c r="P70" t="s">
        <v>29</v>
      </c>
      <c r="Q70">
        <f t="shared" si="3"/>
        <v>0</v>
      </c>
      <c r="R70">
        <f t="shared" si="4"/>
        <v>0</v>
      </c>
      <c r="S70">
        <f t="shared" si="5"/>
        <v>0</v>
      </c>
    </row>
    <row r="71" spans="1:19" x14ac:dyDescent="0.2">
      <c r="A71" s="1">
        <v>45943</v>
      </c>
      <c r="B71" t="s">
        <v>17</v>
      </c>
      <c r="C71" t="s">
        <v>18</v>
      </c>
      <c r="D71" t="s">
        <v>37</v>
      </c>
      <c r="E71">
        <v>4</v>
      </c>
      <c r="F71" t="s">
        <v>10</v>
      </c>
      <c r="G71">
        <v>5.2491000000000003</v>
      </c>
      <c r="H71" s="6">
        <v>1</v>
      </c>
      <c r="I71">
        <v>534.6</v>
      </c>
      <c r="J71" t="s">
        <v>11</v>
      </c>
      <c r="K71" t="s">
        <v>23</v>
      </c>
      <c r="M71">
        <v>9.5771129999999999E-3</v>
      </c>
      <c r="N71">
        <v>295.3</v>
      </c>
      <c r="P71" t="s">
        <v>29</v>
      </c>
      <c r="Q71">
        <f t="shared" si="3"/>
        <v>0.54276364722401371</v>
      </c>
      <c r="R71">
        <f t="shared" si="4"/>
        <v>-1.5406790390043632E-3</v>
      </c>
      <c r="S71">
        <f t="shared" si="5"/>
        <v>6.6176817782737758E-4</v>
      </c>
    </row>
    <row r="72" spans="1:19" x14ac:dyDescent="0.2">
      <c r="A72" s="1">
        <v>45943</v>
      </c>
      <c r="B72" t="s">
        <v>17</v>
      </c>
      <c r="C72" t="s">
        <v>18</v>
      </c>
      <c r="D72" t="s">
        <v>37</v>
      </c>
      <c r="E72">
        <v>4</v>
      </c>
      <c r="F72" t="s">
        <v>13</v>
      </c>
      <c r="G72">
        <v>-1.49E-2</v>
      </c>
      <c r="H72" s="6">
        <v>0.85640000000000005</v>
      </c>
      <c r="I72">
        <v>2.6903999999999999</v>
      </c>
      <c r="J72" t="s">
        <v>16</v>
      </c>
      <c r="K72" t="s">
        <v>23</v>
      </c>
      <c r="P72" t="s">
        <v>29</v>
      </c>
      <c r="Q72">
        <f t="shared" si="3"/>
        <v>0</v>
      </c>
      <c r="R72">
        <f t="shared" si="4"/>
        <v>0</v>
      </c>
      <c r="S72">
        <f t="shared" si="5"/>
        <v>0</v>
      </c>
    </row>
    <row r="73" spans="1:19" x14ac:dyDescent="0.2">
      <c r="A73" s="1">
        <v>45943</v>
      </c>
      <c r="B73" t="s">
        <v>17</v>
      </c>
      <c r="C73" t="s">
        <v>18</v>
      </c>
      <c r="D73" t="s">
        <v>37</v>
      </c>
      <c r="E73">
        <v>4</v>
      </c>
      <c r="F73" t="s">
        <v>14</v>
      </c>
      <c r="G73">
        <v>6.4000000000000003E-3</v>
      </c>
      <c r="H73" s="6">
        <v>0.98919999999999997</v>
      </c>
      <c r="I73">
        <v>0.25240000000000001</v>
      </c>
      <c r="J73" t="s">
        <v>11</v>
      </c>
      <c r="K73" t="s">
        <v>23</v>
      </c>
      <c r="P73" t="s">
        <v>29</v>
      </c>
      <c r="Q73">
        <f t="shared" si="3"/>
        <v>0</v>
      </c>
      <c r="R73">
        <f t="shared" si="4"/>
        <v>0</v>
      </c>
      <c r="S73">
        <f t="shared" si="5"/>
        <v>0</v>
      </c>
    </row>
    <row r="74" spans="1:19" x14ac:dyDescent="0.2">
      <c r="A74" s="1">
        <v>45943</v>
      </c>
      <c r="B74" t="s">
        <v>17</v>
      </c>
      <c r="C74" t="s">
        <v>18</v>
      </c>
      <c r="D74" t="s">
        <v>38</v>
      </c>
      <c r="E74">
        <v>5</v>
      </c>
      <c r="F74" t="s">
        <v>10</v>
      </c>
      <c r="G74">
        <v>6.8139000000000003</v>
      </c>
      <c r="H74" s="6">
        <v>0.99709999999999999</v>
      </c>
      <c r="I74">
        <v>516.96</v>
      </c>
      <c r="J74" t="s">
        <v>11</v>
      </c>
      <c r="K74" t="s">
        <v>24</v>
      </c>
      <c r="M74">
        <v>1.013349E-2</v>
      </c>
      <c r="N74">
        <v>295.5</v>
      </c>
      <c r="P74" t="s">
        <v>29</v>
      </c>
      <c r="Q74">
        <f t="shared" si="3"/>
        <v>0.74600223921673259</v>
      </c>
      <c r="R74">
        <f t="shared" si="4"/>
        <v>-1.7955116340354885E-3</v>
      </c>
      <c r="S74">
        <f t="shared" si="5"/>
        <v>2.7370604177370247E-4</v>
      </c>
    </row>
    <row r="75" spans="1:19" x14ac:dyDescent="0.2">
      <c r="A75" s="1">
        <v>45943</v>
      </c>
      <c r="B75" t="s">
        <v>17</v>
      </c>
      <c r="C75" t="s">
        <v>18</v>
      </c>
      <c r="D75" t="s">
        <v>38</v>
      </c>
      <c r="E75">
        <v>5</v>
      </c>
      <c r="F75" t="s">
        <v>13</v>
      </c>
      <c r="G75">
        <v>-1.6400000000000001E-2</v>
      </c>
      <c r="H75" s="6">
        <v>0.82789999999999997</v>
      </c>
      <c r="I75">
        <v>2.5882000000000001</v>
      </c>
      <c r="J75" t="s">
        <v>16</v>
      </c>
      <c r="K75" t="s">
        <v>15</v>
      </c>
      <c r="P75" t="s">
        <v>29</v>
      </c>
      <c r="Q75">
        <f t="shared" si="3"/>
        <v>0</v>
      </c>
      <c r="R75">
        <f t="shared" si="4"/>
        <v>0</v>
      </c>
      <c r="S75">
        <f t="shared" si="5"/>
        <v>0</v>
      </c>
    </row>
    <row r="76" spans="1:19" x14ac:dyDescent="0.2">
      <c r="A76" s="1">
        <v>45943</v>
      </c>
      <c r="B76" t="s">
        <v>17</v>
      </c>
      <c r="C76" t="s">
        <v>18</v>
      </c>
      <c r="D76" t="s">
        <v>38</v>
      </c>
      <c r="E76">
        <v>5</v>
      </c>
      <c r="F76" t="s">
        <v>14</v>
      </c>
      <c r="G76">
        <v>2.5000000000000001E-3</v>
      </c>
      <c r="H76" s="6">
        <v>0.99660000000000004</v>
      </c>
      <c r="I76">
        <v>0.2586</v>
      </c>
      <c r="J76" t="s">
        <v>11</v>
      </c>
      <c r="P76" t="s">
        <v>29</v>
      </c>
      <c r="Q76">
        <f t="shared" si="3"/>
        <v>0</v>
      </c>
      <c r="R76">
        <f t="shared" si="4"/>
        <v>0</v>
      </c>
      <c r="S76">
        <f t="shared" si="5"/>
        <v>0</v>
      </c>
    </row>
    <row r="77" spans="1:19" x14ac:dyDescent="0.2">
      <c r="A77" s="1">
        <v>45943</v>
      </c>
      <c r="B77" t="s">
        <v>17</v>
      </c>
      <c r="C77" t="s">
        <v>19</v>
      </c>
      <c r="D77" t="s">
        <v>35</v>
      </c>
      <c r="E77">
        <v>1</v>
      </c>
      <c r="F77" t="s">
        <v>10</v>
      </c>
      <c r="G77" s="2">
        <v>30.728999999999999</v>
      </c>
      <c r="H77" s="2">
        <v>0.95230000000000004</v>
      </c>
      <c r="I77" s="3">
        <v>599.07000000000005</v>
      </c>
      <c r="J77" t="s">
        <v>11</v>
      </c>
      <c r="M77">
        <v>9.8862110000000007E-3</v>
      </c>
      <c r="N77">
        <v>300.14999999999998</v>
      </c>
      <c r="P77" t="s">
        <v>29</v>
      </c>
      <c r="Q77">
        <f t="shared" si="3"/>
        <v>3.3338380377150023</v>
      </c>
      <c r="R77">
        <f t="shared" si="4"/>
        <v>-9.6557514190710812E-4</v>
      </c>
      <c r="S77">
        <f t="shared" si="5"/>
        <v>2.2783233685448622E-3</v>
      </c>
    </row>
    <row r="78" spans="1:19" x14ac:dyDescent="0.2">
      <c r="A78" s="1">
        <v>45943</v>
      </c>
      <c r="B78" t="s">
        <v>17</v>
      </c>
      <c r="C78" t="s">
        <v>19</v>
      </c>
      <c r="D78" t="s">
        <v>35</v>
      </c>
      <c r="E78">
        <v>1</v>
      </c>
      <c r="F78" t="s">
        <v>13</v>
      </c>
      <c r="G78" s="2">
        <v>-8.8999999999999999E-3</v>
      </c>
      <c r="H78" s="2">
        <v>0.98860000000000003</v>
      </c>
      <c r="I78" s="3">
        <v>2.5325000000000002</v>
      </c>
      <c r="J78" t="s">
        <v>11</v>
      </c>
      <c r="K78" t="s">
        <v>12</v>
      </c>
      <c r="P78" t="s">
        <v>29</v>
      </c>
      <c r="Q78">
        <f t="shared" si="3"/>
        <v>0</v>
      </c>
      <c r="R78">
        <f t="shared" si="4"/>
        <v>0</v>
      </c>
      <c r="S78">
        <f t="shared" si="5"/>
        <v>0</v>
      </c>
    </row>
    <row r="79" spans="1:19" x14ac:dyDescent="0.2">
      <c r="A79" s="1">
        <v>45943</v>
      </c>
      <c r="B79" t="s">
        <v>17</v>
      </c>
      <c r="C79" t="s">
        <v>19</v>
      </c>
      <c r="D79" t="s">
        <v>35</v>
      </c>
      <c r="E79">
        <v>1</v>
      </c>
      <c r="F79" t="s">
        <v>14</v>
      </c>
      <c r="G79" s="2">
        <v>2.1000000000000001E-2</v>
      </c>
      <c r="H79" s="2">
        <v>0.97260000000000002</v>
      </c>
      <c r="I79" s="4">
        <v>0.31230000000000002</v>
      </c>
      <c r="J79" t="s">
        <v>11</v>
      </c>
      <c r="P79" t="s">
        <v>29</v>
      </c>
      <c r="Q79">
        <f t="shared" si="3"/>
        <v>0</v>
      </c>
      <c r="R79">
        <f t="shared" si="4"/>
        <v>0</v>
      </c>
      <c r="S79">
        <f t="shared" si="5"/>
        <v>0</v>
      </c>
    </row>
    <row r="80" spans="1:19" x14ac:dyDescent="0.2">
      <c r="A80" s="1">
        <v>45943</v>
      </c>
      <c r="B80" t="s">
        <v>17</v>
      </c>
      <c r="C80" t="s">
        <v>19</v>
      </c>
      <c r="D80" t="s">
        <v>37</v>
      </c>
      <c r="E80">
        <v>2</v>
      </c>
      <c r="F80" t="s">
        <v>10</v>
      </c>
      <c r="G80" s="2">
        <v>10.396000000000001</v>
      </c>
      <c r="H80" s="2">
        <v>0.99790000000000001</v>
      </c>
      <c r="I80" s="4">
        <v>548.08000000000004</v>
      </c>
      <c r="J80" t="s">
        <v>11</v>
      </c>
      <c r="M80">
        <v>1.0071671000000001E-2</v>
      </c>
      <c r="N80">
        <v>301.14999999999998</v>
      </c>
      <c r="P80" t="s">
        <v>29</v>
      </c>
      <c r="Q80">
        <f t="shared" si="3"/>
        <v>1.1528651631108802</v>
      </c>
      <c r="R80">
        <f t="shared" si="4"/>
        <v>-1.5968890293186488E-3</v>
      </c>
      <c r="S80">
        <f t="shared" si="5"/>
        <v>3.3268521444138516E-4</v>
      </c>
    </row>
    <row r="81" spans="1:19" x14ac:dyDescent="0.2">
      <c r="A81" s="1">
        <v>45943</v>
      </c>
      <c r="B81" t="s">
        <v>17</v>
      </c>
      <c r="C81" t="s">
        <v>19</v>
      </c>
      <c r="D81" t="s">
        <v>37</v>
      </c>
      <c r="E81">
        <v>2</v>
      </c>
      <c r="F81" t="s">
        <v>13</v>
      </c>
      <c r="G81" s="2">
        <v>-1.44E-2</v>
      </c>
      <c r="H81" s="2">
        <v>0.93989999999999996</v>
      </c>
      <c r="I81" s="4">
        <v>2.7098</v>
      </c>
      <c r="J81" t="s">
        <v>11</v>
      </c>
      <c r="K81" t="s">
        <v>15</v>
      </c>
      <c r="P81" t="s">
        <v>29</v>
      </c>
      <c r="Q81">
        <f t="shared" si="3"/>
        <v>0</v>
      </c>
      <c r="R81">
        <f t="shared" si="4"/>
        <v>0</v>
      </c>
      <c r="S81">
        <f t="shared" si="5"/>
        <v>0</v>
      </c>
    </row>
    <row r="82" spans="1:19" x14ac:dyDescent="0.2">
      <c r="A82" s="1">
        <v>45943</v>
      </c>
      <c r="B82" t="s">
        <v>17</v>
      </c>
      <c r="C82" t="s">
        <v>19</v>
      </c>
      <c r="D82" t="s">
        <v>37</v>
      </c>
      <c r="E82">
        <v>2</v>
      </c>
      <c r="F82" t="s">
        <v>14</v>
      </c>
      <c r="G82" s="2">
        <v>3.0000000000000001E-3</v>
      </c>
      <c r="H82" s="2">
        <v>0.90039999999999998</v>
      </c>
      <c r="I82" s="4">
        <v>0.29730000000000001</v>
      </c>
      <c r="J82" t="s">
        <v>11</v>
      </c>
      <c r="K82" t="s">
        <v>15</v>
      </c>
      <c r="P82" t="s">
        <v>29</v>
      </c>
      <c r="Q82">
        <f t="shared" si="3"/>
        <v>0</v>
      </c>
      <c r="R82">
        <f t="shared" si="4"/>
        <v>0</v>
      </c>
      <c r="S82">
        <f t="shared" si="5"/>
        <v>0</v>
      </c>
    </row>
    <row r="83" spans="1:19" x14ac:dyDescent="0.2">
      <c r="A83" s="1">
        <v>45943</v>
      </c>
      <c r="B83" t="s">
        <v>17</v>
      </c>
      <c r="C83" t="s">
        <v>19</v>
      </c>
      <c r="D83" t="s">
        <v>38</v>
      </c>
      <c r="E83">
        <v>3</v>
      </c>
      <c r="F83" t="s">
        <v>10</v>
      </c>
      <c r="G83" s="2">
        <v>9.4817999999999998</v>
      </c>
      <c r="H83" s="4">
        <v>0.98650000000000004</v>
      </c>
      <c r="I83" s="4">
        <v>499.87</v>
      </c>
      <c r="J83" t="s">
        <v>11</v>
      </c>
      <c r="M83">
        <v>1.0764052E-2</v>
      </c>
      <c r="N83">
        <v>301.35000000000002</v>
      </c>
      <c r="P83" t="s">
        <v>29</v>
      </c>
      <c r="Q83">
        <f t="shared" si="3"/>
        <v>1.1245159515183236</v>
      </c>
      <c r="R83">
        <f t="shared" si="4"/>
        <v>9.2505899954048009E-4</v>
      </c>
      <c r="S83">
        <f t="shared" si="5"/>
        <v>2.016154229767713E-4</v>
      </c>
    </row>
    <row r="84" spans="1:19" x14ac:dyDescent="0.2">
      <c r="A84" s="1">
        <v>45943</v>
      </c>
      <c r="B84" t="s">
        <v>17</v>
      </c>
      <c r="C84" t="s">
        <v>19</v>
      </c>
      <c r="D84" t="s">
        <v>38</v>
      </c>
      <c r="E84">
        <v>3</v>
      </c>
      <c r="F84" t="s">
        <v>13</v>
      </c>
      <c r="G84" s="2">
        <v>7.7999999999999996E-3</v>
      </c>
      <c r="H84" s="2">
        <v>0.92120000000000002</v>
      </c>
      <c r="I84" s="4">
        <v>2.4239999999999999</v>
      </c>
      <c r="J84" t="s">
        <v>16</v>
      </c>
      <c r="K84" t="s">
        <v>12</v>
      </c>
      <c r="P84" t="s">
        <v>29</v>
      </c>
      <c r="Q84">
        <f t="shared" si="3"/>
        <v>0</v>
      </c>
      <c r="R84">
        <f t="shared" si="4"/>
        <v>0</v>
      </c>
      <c r="S84">
        <f t="shared" si="5"/>
        <v>0</v>
      </c>
    </row>
    <row r="85" spans="1:19" x14ac:dyDescent="0.2">
      <c r="A85" s="1">
        <v>45943</v>
      </c>
      <c r="B85" t="s">
        <v>17</v>
      </c>
      <c r="C85" t="s">
        <v>19</v>
      </c>
      <c r="D85" t="s">
        <v>38</v>
      </c>
      <c r="E85">
        <v>3</v>
      </c>
      <c r="F85" t="s">
        <v>14</v>
      </c>
      <c r="G85" s="2">
        <v>1.6999999999999999E-3</v>
      </c>
      <c r="H85" s="4">
        <v>0.99870000000000003</v>
      </c>
      <c r="I85" s="4">
        <v>0.29210000000000003</v>
      </c>
      <c r="J85" t="s">
        <v>11</v>
      </c>
      <c r="K85" t="s">
        <v>12</v>
      </c>
      <c r="P85" t="s">
        <v>29</v>
      </c>
      <c r="Q85">
        <f t="shared" si="3"/>
        <v>0</v>
      </c>
      <c r="R85">
        <f t="shared" si="4"/>
        <v>0</v>
      </c>
      <c r="S85">
        <f t="shared" si="5"/>
        <v>0</v>
      </c>
    </row>
    <row r="86" spans="1:19" x14ac:dyDescent="0.2">
      <c r="A86" s="1">
        <v>45943</v>
      </c>
      <c r="B86" t="s">
        <v>17</v>
      </c>
      <c r="C86" t="s">
        <v>19</v>
      </c>
      <c r="D86" t="s">
        <v>34</v>
      </c>
      <c r="E86">
        <v>4</v>
      </c>
      <c r="F86" t="s">
        <v>10</v>
      </c>
      <c r="G86" s="2">
        <v>25.594999999999999</v>
      </c>
      <c r="H86" s="4">
        <v>0.9899</v>
      </c>
      <c r="I86" s="4">
        <v>525.41999999999996</v>
      </c>
      <c r="M86">
        <v>9.9480309999999995E-3</v>
      </c>
      <c r="N86">
        <v>300.39999999999998</v>
      </c>
      <c r="P86" t="s">
        <v>29</v>
      </c>
      <c r="Q86">
        <f t="shared" si="3"/>
        <v>2.7965335835053571</v>
      </c>
      <c r="R86">
        <f t="shared" si="4"/>
        <v>-2.9500451945553688E-4</v>
      </c>
      <c r="S86">
        <f t="shared" si="5"/>
        <v>1.3220572908933315E-3</v>
      </c>
    </row>
    <row r="87" spans="1:19" x14ac:dyDescent="0.2">
      <c r="A87" s="1">
        <v>45943</v>
      </c>
      <c r="B87" t="s">
        <v>17</v>
      </c>
      <c r="C87" t="s">
        <v>19</v>
      </c>
      <c r="D87" t="s">
        <v>34</v>
      </c>
      <c r="E87">
        <v>4</v>
      </c>
      <c r="F87" t="s">
        <v>13</v>
      </c>
      <c r="G87" s="2">
        <v>-2.7000000000000001E-3</v>
      </c>
      <c r="H87" s="4">
        <v>0.98429999999999995</v>
      </c>
      <c r="I87" s="4">
        <v>2.3561000000000001</v>
      </c>
      <c r="J87" t="s">
        <v>11</v>
      </c>
      <c r="K87" t="s">
        <v>12</v>
      </c>
      <c r="P87" t="s">
        <v>29</v>
      </c>
      <c r="Q87">
        <f t="shared" si="3"/>
        <v>0</v>
      </c>
      <c r="R87">
        <f t="shared" si="4"/>
        <v>0</v>
      </c>
      <c r="S87">
        <f t="shared" si="5"/>
        <v>0</v>
      </c>
    </row>
    <row r="88" spans="1:19" x14ac:dyDescent="0.2">
      <c r="A88" s="1">
        <v>45943</v>
      </c>
      <c r="B88" t="s">
        <v>17</v>
      </c>
      <c r="C88" t="s">
        <v>19</v>
      </c>
      <c r="D88" t="s">
        <v>34</v>
      </c>
      <c r="E88">
        <v>4</v>
      </c>
      <c r="F88" t="s">
        <v>14</v>
      </c>
      <c r="G88" s="2">
        <v>1.21E-2</v>
      </c>
      <c r="H88" s="2">
        <v>0.91620000000000001</v>
      </c>
      <c r="I88" s="4">
        <v>0.26869999999999999</v>
      </c>
      <c r="J88" t="s">
        <v>11</v>
      </c>
      <c r="P88" t="s">
        <v>29</v>
      </c>
      <c r="Q88">
        <f t="shared" si="3"/>
        <v>0</v>
      </c>
      <c r="R88">
        <f t="shared" si="4"/>
        <v>0</v>
      </c>
      <c r="S88">
        <f t="shared" si="5"/>
        <v>0</v>
      </c>
    </row>
    <row r="89" spans="1:19" x14ac:dyDescent="0.2">
      <c r="A89" s="1">
        <v>45943</v>
      </c>
      <c r="B89" t="s">
        <v>17</v>
      </c>
      <c r="C89" t="s">
        <v>19</v>
      </c>
      <c r="D89" t="s">
        <v>36</v>
      </c>
      <c r="E89">
        <v>5</v>
      </c>
      <c r="F89" t="s">
        <v>10</v>
      </c>
      <c r="G89" s="2">
        <v>17.100000000000001</v>
      </c>
      <c r="H89" s="2">
        <v>0.95120000000000005</v>
      </c>
      <c r="I89" s="4">
        <v>566.94000000000005</v>
      </c>
      <c r="J89" t="s">
        <v>11</v>
      </c>
      <c r="K89" t="s">
        <v>15</v>
      </c>
      <c r="M89">
        <v>1.0380769E-2</v>
      </c>
      <c r="N89">
        <v>300.45</v>
      </c>
      <c r="P89" t="s">
        <v>29</v>
      </c>
      <c r="Q89">
        <f t="shared" si="3"/>
        <v>1.9499599549629103</v>
      </c>
      <c r="R89">
        <f t="shared" si="4"/>
        <v>-1.9385566803724834E-4</v>
      </c>
      <c r="S89">
        <f t="shared" si="5"/>
        <v>2.3376712910374068E-3</v>
      </c>
    </row>
    <row r="90" spans="1:19" x14ac:dyDescent="0.2">
      <c r="A90" s="1">
        <v>45943</v>
      </c>
      <c r="B90" t="s">
        <v>17</v>
      </c>
      <c r="C90" t="s">
        <v>19</v>
      </c>
      <c r="D90" t="s">
        <v>36</v>
      </c>
      <c r="E90">
        <v>5</v>
      </c>
      <c r="F90" t="s">
        <v>13</v>
      </c>
      <c r="G90" s="3">
        <v>-1.6999999999999999E-3</v>
      </c>
      <c r="H90" s="4">
        <v>0.85119999999999996</v>
      </c>
      <c r="I90" s="4">
        <v>2.3237999999999999</v>
      </c>
      <c r="J90" t="s">
        <v>16</v>
      </c>
      <c r="K90" t="s">
        <v>12</v>
      </c>
      <c r="P90" t="s">
        <v>29</v>
      </c>
      <c r="Q90">
        <f t="shared" si="3"/>
        <v>0</v>
      </c>
      <c r="R90">
        <f t="shared" si="4"/>
        <v>0</v>
      </c>
      <c r="S90">
        <f t="shared" si="5"/>
        <v>0</v>
      </c>
    </row>
    <row r="91" spans="1:19" x14ac:dyDescent="0.2">
      <c r="A91" s="1">
        <v>45943</v>
      </c>
      <c r="B91" t="s">
        <v>17</v>
      </c>
      <c r="C91" t="s">
        <v>19</v>
      </c>
      <c r="D91" t="s">
        <v>36</v>
      </c>
      <c r="E91">
        <v>5</v>
      </c>
      <c r="F91" t="s">
        <v>14</v>
      </c>
      <c r="G91" s="2">
        <v>2.0500000000000001E-2</v>
      </c>
      <c r="H91" s="4">
        <v>0.94530000000000003</v>
      </c>
      <c r="I91" s="4">
        <v>0.27879999999999999</v>
      </c>
      <c r="J91" t="s">
        <v>11</v>
      </c>
      <c r="K91" t="s">
        <v>15</v>
      </c>
      <c r="P91" t="s">
        <v>29</v>
      </c>
      <c r="Q91">
        <f t="shared" si="3"/>
        <v>0</v>
      </c>
      <c r="R91">
        <f t="shared" si="4"/>
        <v>0</v>
      </c>
      <c r="S91">
        <f t="shared" si="5"/>
        <v>0</v>
      </c>
    </row>
    <row r="92" spans="1:19" x14ac:dyDescent="0.2">
      <c r="A92" s="1">
        <v>45943</v>
      </c>
      <c r="B92" t="s">
        <v>17</v>
      </c>
      <c r="C92" t="s">
        <v>20</v>
      </c>
      <c r="D92" t="s">
        <v>36</v>
      </c>
      <c r="E92" s="8">
        <v>1</v>
      </c>
      <c r="F92" t="s">
        <v>10</v>
      </c>
      <c r="G92" s="3">
        <v>16.361000000000001</v>
      </c>
      <c r="H92" s="4">
        <v>0.98699999999999999</v>
      </c>
      <c r="I92" s="4">
        <v>563.71</v>
      </c>
      <c r="J92" t="s">
        <v>11</v>
      </c>
      <c r="K92" t="s">
        <v>15</v>
      </c>
      <c r="M92">
        <v>1.0442589E-2</v>
      </c>
      <c r="N92">
        <v>295</v>
      </c>
      <c r="P92" t="s">
        <v>29</v>
      </c>
      <c r="Q92">
        <f t="shared" si="3"/>
        <v>1.8427562503558859</v>
      </c>
      <c r="R92">
        <f t="shared" si="4"/>
        <v>-1.2411939294005171E-3</v>
      </c>
      <c r="S92">
        <f t="shared" si="5"/>
        <v>9.6862684145593867E-4</v>
      </c>
    </row>
    <row r="93" spans="1:19" x14ac:dyDescent="0.2">
      <c r="A93" s="1">
        <v>45943</v>
      </c>
      <c r="B93" t="s">
        <v>17</v>
      </c>
      <c r="C93" t="s">
        <v>20</v>
      </c>
      <c r="D93" t="s">
        <v>36</v>
      </c>
      <c r="E93" s="8">
        <v>1</v>
      </c>
      <c r="F93" t="s">
        <v>13</v>
      </c>
      <c r="G93" s="3">
        <v>-1.102E-2</v>
      </c>
      <c r="H93" s="2">
        <v>0.98109999999999997</v>
      </c>
      <c r="I93" s="4">
        <v>2.6587000000000001</v>
      </c>
      <c r="J93" t="s">
        <v>11</v>
      </c>
      <c r="K93" t="s">
        <v>12</v>
      </c>
      <c r="P93" t="s">
        <v>29</v>
      </c>
      <c r="Q93">
        <f t="shared" si="3"/>
        <v>0</v>
      </c>
      <c r="R93">
        <f t="shared" si="4"/>
        <v>0</v>
      </c>
      <c r="S93">
        <f t="shared" si="5"/>
        <v>0</v>
      </c>
    </row>
    <row r="94" spans="1:19" x14ac:dyDescent="0.2">
      <c r="A94" s="1">
        <v>45943</v>
      </c>
      <c r="B94" t="s">
        <v>17</v>
      </c>
      <c r="C94" t="s">
        <v>20</v>
      </c>
      <c r="D94" t="s">
        <v>36</v>
      </c>
      <c r="E94" s="8">
        <v>1</v>
      </c>
      <c r="F94" t="s">
        <v>14</v>
      </c>
      <c r="G94" s="3">
        <v>8.6E-3</v>
      </c>
      <c r="H94" s="4">
        <v>0.98480000000000001</v>
      </c>
      <c r="I94" s="4">
        <v>0.28970000000000001</v>
      </c>
      <c r="J94" t="s">
        <v>11</v>
      </c>
      <c r="K94" t="s">
        <v>15</v>
      </c>
      <c r="P94" t="s">
        <v>29</v>
      </c>
      <c r="Q94">
        <f t="shared" si="3"/>
        <v>0</v>
      </c>
      <c r="R94">
        <f t="shared" si="4"/>
        <v>0</v>
      </c>
      <c r="S94">
        <f t="shared" si="5"/>
        <v>0</v>
      </c>
    </row>
    <row r="95" spans="1:19" x14ac:dyDescent="0.2">
      <c r="A95" s="1">
        <v>45943</v>
      </c>
      <c r="B95" t="s">
        <v>17</v>
      </c>
      <c r="C95" t="s">
        <v>20</v>
      </c>
      <c r="D95" t="s">
        <v>38</v>
      </c>
      <c r="E95" s="8">
        <v>2</v>
      </c>
      <c r="F95" t="s">
        <v>10</v>
      </c>
      <c r="G95" s="3">
        <v>7.4592999999999998</v>
      </c>
      <c r="H95" s="4">
        <v>0.99909999999999999</v>
      </c>
      <c r="I95" s="4">
        <v>514.66</v>
      </c>
      <c r="J95" t="s">
        <v>11</v>
      </c>
      <c r="M95">
        <v>1.0195310000000001E-2</v>
      </c>
      <c r="N95">
        <v>295.2</v>
      </c>
      <c r="P95" t="s">
        <v>29</v>
      </c>
      <c r="Q95">
        <f t="shared" si="3"/>
        <v>0.82081013393758862</v>
      </c>
      <c r="R95">
        <f t="shared" si="4"/>
        <v>-4.7866744635937835E-3</v>
      </c>
      <c r="S95">
        <f t="shared" si="5"/>
        <v>7.1525020720366868E-4</v>
      </c>
    </row>
    <row r="96" spans="1:19" x14ac:dyDescent="0.2">
      <c r="A96" s="1">
        <v>45943</v>
      </c>
      <c r="B96" t="s">
        <v>17</v>
      </c>
      <c r="C96" t="s">
        <v>20</v>
      </c>
      <c r="D96" t="s">
        <v>38</v>
      </c>
      <c r="E96" s="8">
        <v>2</v>
      </c>
      <c r="F96" t="s">
        <v>13</v>
      </c>
      <c r="G96" s="3">
        <v>-4.3499999999999997E-2</v>
      </c>
      <c r="H96" s="2">
        <v>0.83809999999999996</v>
      </c>
      <c r="I96" s="4">
        <v>2.6465999999999998</v>
      </c>
      <c r="J96" t="s">
        <v>16</v>
      </c>
      <c r="K96" t="s">
        <v>12</v>
      </c>
      <c r="P96" t="s">
        <v>29</v>
      </c>
      <c r="Q96">
        <f t="shared" si="3"/>
        <v>0</v>
      </c>
      <c r="R96">
        <f t="shared" si="4"/>
        <v>0</v>
      </c>
      <c r="S96">
        <f t="shared" si="5"/>
        <v>0</v>
      </c>
    </row>
    <row r="97" spans="1:19" x14ac:dyDescent="0.2">
      <c r="A97" s="1">
        <v>45943</v>
      </c>
      <c r="B97" t="s">
        <v>17</v>
      </c>
      <c r="C97" t="s">
        <v>20</v>
      </c>
      <c r="D97" t="s">
        <v>38</v>
      </c>
      <c r="E97" s="8">
        <v>2</v>
      </c>
      <c r="F97" t="s">
        <v>14</v>
      </c>
      <c r="G97" s="4">
        <v>6.4999999999999997E-3</v>
      </c>
      <c r="H97" s="2">
        <v>0.97509999999999997</v>
      </c>
      <c r="I97" s="9">
        <v>0.32940000000000003</v>
      </c>
      <c r="J97" t="s">
        <v>11</v>
      </c>
      <c r="K97" t="s">
        <v>12</v>
      </c>
      <c r="P97" t="s">
        <v>29</v>
      </c>
      <c r="Q97">
        <f t="shared" si="3"/>
        <v>0</v>
      </c>
      <c r="R97">
        <f t="shared" si="4"/>
        <v>0</v>
      </c>
      <c r="S97">
        <f t="shared" si="5"/>
        <v>0</v>
      </c>
    </row>
    <row r="98" spans="1:19" x14ac:dyDescent="0.2">
      <c r="A98" s="1">
        <v>45943</v>
      </c>
      <c r="B98" t="s">
        <v>17</v>
      </c>
      <c r="C98" t="s">
        <v>20</v>
      </c>
      <c r="D98" t="s">
        <v>34</v>
      </c>
      <c r="E98" s="8">
        <v>3</v>
      </c>
      <c r="F98" t="s">
        <v>10</v>
      </c>
      <c r="G98" s="4">
        <v>21.364999999999998</v>
      </c>
      <c r="H98" s="4">
        <v>0.99970000000000003</v>
      </c>
      <c r="I98" s="9">
        <v>514.67999999999995</v>
      </c>
      <c r="J98" t="s">
        <v>11</v>
      </c>
      <c r="M98">
        <v>1.013349E-2</v>
      </c>
      <c r="N98">
        <v>295.05</v>
      </c>
      <c r="P98" t="s">
        <v>29</v>
      </c>
      <c r="Q98">
        <f t="shared" si="3"/>
        <v>2.3355297642168464</v>
      </c>
      <c r="R98">
        <f t="shared" si="4"/>
        <v>-2.1316559982320856E-3</v>
      </c>
      <c r="S98">
        <f t="shared" si="5"/>
        <v>9.2918338384475523E-4</v>
      </c>
    </row>
    <row r="99" spans="1:19" x14ac:dyDescent="0.2">
      <c r="A99" s="1">
        <v>45943</v>
      </c>
      <c r="B99" t="s">
        <v>17</v>
      </c>
      <c r="C99" t="s">
        <v>20</v>
      </c>
      <c r="D99" t="s">
        <v>34</v>
      </c>
      <c r="E99" s="8">
        <v>3</v>
      </c>
      <c r="F99" t="s">
        <v>13</v>
      </c>
      <c r="G99" s="4">
        <v>-1.95E-2</v>
      </c>
      <c r="H99" s="2">
        <v>0.27710000000000001</v>
      </c>
      <c r="I99" s="4">
        <v>2.5171000000000001</v>
      </c>
      <c r="J99" t="s">
        <v>16</v>
      </c>
      <c r="K99" t="s">
        <v>15</v>
      </c>
      <c r="P99" t="s">
        <v>29</v>
      </c>
      <c r="Q99">
        <f t="shared" si="3"/>
        <v>0</v>
      </c>
      <c r="R99">
        <f t="shared" si="4"/>
        <v>0</v>
      </c>
      <c r="S99">
        <f t="shared" si="5"/>
        <v>0</v>
      </c>
    </row>
    <row r="100" spans="1:19" ht="19" x14ac:dyDescent="0.2">
      <c r="A100" s="1">
        <v>45943</v>
      </c>
      <c r="B100" t="s">
        <v>17</v>
      </c>
      <c r="C100" t="s">
        <v>20</v>
      </c>
      <c r="D100" t="s">
        <v>34</v>
      </c>
      <c r="E100" s="8">
        <v>3</v>
      </c>
      <c r="F100" t="s">
        <v>14</v>
      </c>
      <c r="G100" s="10">
        <v>8.5000000000000006E-3</v>
      </c>
      <c r="H100" s="4">
        <v>0.94750000000000001</v>
      </c>
      <c r="I100" s="4">
        <v>0.28489999999999999</v>
      </c>
      <c r="J100" s="5" t="s">
        <v>11</v>
      </c>
      <c r="P100" t="s">
        <v>29</v>
      </c>
      <c r="Q100">
        <f t="shared" si="3"/>
        <v>0</v>
      </c>
      <c r="R100">
        <f t="shared" si="4"/>
        <v>0</v>
      </c>
      <c r="S100">
        <f t="shared" si="5"/>
        <v>0</v>
      </c>
    </row>
    <row r="101" spans="1:19" x14ac:dyDescent="0.2">
      <c r="A101" s="1">
        <v>45943</v>
      </c>
      <c r="B101" t="s">
        <v>17</v>
      </c>
      <c r="C101" t="s">
        <v>20</v>
      </c>
      <c r="D101" t="s">
        <v>37</v>
      </c>
      <c r="E101" s="8">
        <v>4</v>
      </c>
      <c r="F101" t="s">
        <v>10</v>
      </c>
      <c r="G101" s="9">
        <v>12.54</v>
      </c>
      <c r="H101" s="2">
        <v>0.99939999999999996</v>
      </c>
      <c r="I101" s="9">
        <v>523.52</v>
      </c>
      <c r="J101" s="4" t="s">
        <v>11</v>
      </c>
      <c r="M101">
        <v>1.0071671000000001E-2</v>
      </c>
      <c r="N101">
        <v>294.55</v>
      </c>
      <c r="P101" t="s">
        <v>29</v>
      </c>
      <c r="Q101">
        <f t="shared" si="3"/>
        <v>1.3601472921776783</v>
      </c>
      <c r="R101">
        <f t="shared" si="4"/>
        <v>1.3666551739584332E-3</v>
      </c>
      <c r="S101">
        <f t="shared" si="5"/>
        <v>4.3385878538362957E-4</v>
      </c>
    </row>
    <row r="102" spans="1:19" x14ac:dyDescent="0.2">
      <c r="A102" s="1">
        <v>45943</v>
      </c>
      <c r="B102" t="s">
        <v>17</v>
      </c>
      <c r="C102" t="s">
        <v>20</v>
      </c>
      <c r="D102" t="s">
        <v>37</v>
      </c>
      <c r="E102" s="8">
        <v>4</v>
      </c>
      <c r="F102" t="s">
        <v>13</v>
      </c>
      <c r="G102" s="4">
        <v>1.26E-2</v>
      </c>
      <c r="H102" s="2">
        <v>0.98909999999999998</v>
      </c>
      <c r="I102" s="9">
        <v>2.3479999999999999</v>
      </c>
      <c r="J102" s="4" t="s">
        <v>11</v>
      </c>
      <c r="K102" t="s">
        <v>15</v>
      </c>
      <c r="P102" t="s">
        <v>29</v>
      </c>
      <c r="Q102">
        <f t="shared" si="3"/>
        <v>0</v>
      </c>
      <c r="R102">
        <f t="shared" si="4"/>
        <v>0</v>
      </c>
      <c r="S102">
        <f t="shared" si="5"/>
        <v>0</v>
      </c>
    </row>
    <row r="103" spans="1:19" x14ac:dyDescent="0.2">
      <c r="A103" s="1">
        <v>45943</v>
      </c>
      <c r="B103" t="s">
        <v>17</v>
      </c>
      <c r="C103" t="s">
        <v>20</v>
      </c>
      <c r="D103" t="s">
        <v>37</v>
      </c>
      <c r="E103" s="8">
        <v>4</v>
      </c>
      <c r="F103" t="s">
        <v>14</v>
      </c>
      <c r="G103" s="3">
        <v>4.0000000000000001E-3</v>
      </c>
      <c r="H103" s="2">
        <v>0.95650000000000002</v>
      </c>
      <c r="I103" s="9">
        <v>0.25559999999999999</v>
      </c>
      <c r="J103" s="2" t="s">
        <v>11</v>
      </c>
      <c r="P103" t="s">
        <v>29</v>
      </c>
      <c r="Q103">
        <f t="shared" si="3"/>
        <v>0</v>
      </c>
      <c r="R103">
        <f t="shared" si="4"/>
        <v>0</v>
      </c>
      <c r="S103">
        <f t="shared" si="5"/>
        <v>0</v>
      </c>
    </row>
    <row r="104" spans="1:19" x14ac:dyDescent="0.2">
      <c r="A104" s="1">
        <v>45943</v>
      </c>
      <c r="B104" t="s">
        <v>17</v>
      </c>
      <c r="C104" t="s">
        <v>20</v>
      </c>
      <c r="D104" t="s">
        <v>35</v>
      </c>
      <c r="E104" s="8">
        <v>5</v>
      </c>
      <c r="F104" t="s">
        <v>10</v>
      </c>
      <c r="G104" s="4">
        <v>38.478999999999999</v>
      </c>
      <c r="H104" s="2">
        <v>0.96850000000000003</v>
      </c>
      <c r="I104" s="9">
        <v>531.57000000000005</v>
      </c>
      <c r="J104" s="6" t="s">
        <v>11</v>
      </c>
      <c r="K104" t="s">
        <v>15</v>
      </c>
      <c r="M104">
        <v>1.0009851E-2</v>
      </c>
      <c r="N104">
        <v>295.14999999999998</v>
      </c>
      <c r="P104" t="s">
        <v>29</v>
      </c>
      <c r="Q104">
        <f t="shared" si="3"/>
        <v>4.1564448690515281</v>
      </c>
      <c r="R104">
        <f t="shared" si="4"/>
        <v>-1.6526834506221152E-3</v>
      </c>
      <c r="S104">
        <f t="shared" si="5"/>
        <v>2.5492372179530668E-3</v>
      </c>
    </row>
    <row r="105" spans="1:19" x14ac:dyDescent="0.2">
      <c r="A105" s="1">
        <v>45943</v>
      </c>
      <c r="B105" t="s">
        <v>17</v>
      </c>
      <c r="C105" t="s">
        <v>20</v>
      </c>
      <c r="D105" t="s">
        <v>35</v>
      </c>
      <c r="E105" s="8">
        <v>5</v>
      </c>
      <c r="F105" t="s">
        <v>13</v>
      </c>
      <c r="G105" s="4">
        <v>-1.5299999999999999E-2</v>
      </c>
      <c r="H105" s="2">
        <v>0.998</v>
      </c>
      <c r="I105" s="4">
        <v>2.4544000000000001</v>
      </c>
      <c r="J105" s="2" t="s">
        <v>11</v>
      </c>
      <c r="K105" t="s">
        <v>15</v>
      </c>
      <c r="P105" t="s">
        <v>29</v>
      </c>
      <c r="Q105">
        <f t="shared" si="3"/>
        <v>0</v>
      </c>
      <c r="R105">
        <f t="shared" si="4"/>
        <v>0</v>
      </c>
      <c r="S105">
        <f t="shared" si="5"/>
        <v>0</v>
      </c>
    </row>
    <row r="106" spans="1:19" x14ac:dyDescent="0.2">
      <c r="A106" s="1">
        <v>45943</v>
      </c>
      <c r="B106" t="s">
        <v>17</v>
      </c>
      <c r="C106" t="s">
        <v>20</v>
      </c>
      <c r="D106" t="s">
        <v>35</v>
      </c>
      <c r="E106" s="8">
        <v>5</v>
      </c>
      <c r="F106" t="s">
        <v>14</v>
      </c>
      <c r="G106" s="4">
        <v>2.3599999999999999E-2</v>
      </c>
      <c r="H106" s="4">
        <v>0.95930000000000004</v>
      </c>
      <c r="I106" s="4">
        <v>0.30669999999999997</v>
      </c>
      <c r="J106" s="2" t="s">
        <v>11</v>
      </c>
      <c r="K106" t="s">
        <v>15</v>
      </c>
      <c r="P106" t="s">
        <v>29</v>
      </c>
      <c r="Q106">
        <f t="shared" si="3"/>
        <v>0</v>
      </c>
      <c r="R106">
        <f t="shared" si="4"/>
        <v>0</v>
      </c>
      <c r="S106">
        <f t="shared" si="5"/>
        <v>0</v>
      </c>
    </row>
    <row r="107" spans="1:19" x14ac:dyDescent="0.2">
      <c r="A107" s="1">
        <v>45943</v>
      </c>
      <c r="B107" t="s">
        <v>17</v>
      </c>
      <c r="C107" t="s">
        <v>21</v>
      </c>
      <c r="D107" t="s">
        <v>36</v>
      </c>
      <c r="E107" s="8">
        <v>1</v>
      </c>
      <c r="F107" t="s">
        <v>10</v>
      </c>
      <c r="G107" s="4">
        <v>19.164999999999999</v>
      </c>
      <c r="H107" s="4">
        <v>0.93940000000000001</v>
      </c>
      <c r="I107" s="4">
        <v>574.87</v>
      </c>
      <c r="J107" s="2" t="s">
        <v>16</v>
      </c>
      <c r="K107" s="9" t="s">
        <v>23</v>
      </c>
      <c r="M107">
        <v>1.025713E-2</v>
      </c>
      <c r="N107">
        <v>297.45</v>
      </c>
      <c r="P107" t="s">
        <v>29</v>
      </c>
      <c r="Q107">
        <f t="shared" si="3"/>
        <v>2.1378464239270483</v>
      </c>
      <c r="R107">
        <f t="shared" si="4"/>
        <v>-1.7067075547134798E-3</v>
      </c>
      <c r="S107">
        <f t="shared" si="5"/>
        <v>1.5282283333055342E-3</v>
      </c>
    </row>
    <row r="108" spans="1:19" x14ac:dyDescent="0.2">
      <c r="A108" s="1">
        <v>45943</v>
      </c>
      <c r="B108" t="s">
        <v>17</v>
      </c>
      <c r="C108" t="s">
        <v>21</v>
      </c>
      <c r="D108" t="s">
        <v>36</v>
      </c>
      <c r="E108" s="8">
        <v>1</v>
      </c>
      <c r="F108" t="s">
        <v>13</v>
      </c>
      <c r="G108" s="4">
        <v>-1.5299999999999999E-2</v>
      </c>
      <c r="H108" s="4">
        <v>4.403E-2</v>
      </c>
      <c r="I108" s="4">
        <v>2.6593</v>
      </c>
      <c r="J108" s="2" t="s">
        <v>16</v>
      </c>
      <c r="K108" s="9" t="s">
        <v>23</v>
      </c>
      <c r="P108" t="s">
        <v>29</v>
      </c>
      <c r="Q108">
        <f t="shared" si="3"/>
        <v>0</v>
      </c>
      <c r="R108">
        <f t="shared" si="4"/>
        <v>0</v>
      </c>
      <c r="S108">
        <f t="shared" si="5"/>
        <v>0</v>
      </c>
    </row>
    <row r="109" spans="1:19" x14ac:dyDescent="0.2">
      <c r="A109" s="1">
        <v>45943</v>
      </c>
      <c r="B109" t="s">
        <v>17</v>
      </c>
      <c r="C109" t="s">
        <v>21</v>
      </c>
      <c r="D109" t="s">
        <v>36</v>
      </c>
      <c r="E109" s="8">
        <v>1</v>
      </c>
      <c r="F109" t="s">
        <v>14</v>
      </c>
      <c r="G109" s="4">
        <v>1.37E-2</v>
      </c>
      <c r="H109" s="4">
        <v>0.95609999999999995</v>
      </c>
      <c r="I109" s="4">
        <v>0.31340000000000001</v>
      </c>
      <c r="J109" s="2" t="s">
        <v>16</v>
      </c>
      <c r="K109" s="9" t="s">
        <v>23</v>
      </c>
      <c r="P109" t="s">
        <v>29</v>
      </c>
      <c r="Q109">
        <f t="shared" si="3"/>
        <v>0</v>
      </c>
      <c r="R109">
        <f t="shared" si="4"/>
        <v>0</v>
      </c>
      <c r="S109">
        <f t="shared" si="5"/>
        <v>0</v>
      </c>
    </row>
    <row r="110" spans="1:19" x14ac:dyDescent="0.2">
      <c r="A110" s="1">
        <v>45943</v>
      </c>
      <c r="B110" t="s">
        <v>17</v>
      </c>
      <c r="C110" t="s">
        <v>21</v>
      </c>
      <c r="D110" t="s">
        <v>37</v>
      </c>
      <c r="E110" s="8">
        <v>2</v>
      </c>
      <c r="F110" t="s">
        <v>10</v>
      </c>
      <c r="G110" s="4">
        <v>16.788</v>
      </c>
      <c r="H110" s="4">
        <v>0.99550000000000005</v>
      </c>
      <c r="I110" s="4">
        <v>563.67999999999995</v>
      </c>
      <c r="J110" s="2" t="s">
        <v>11</v>
      </c>
      <c r="K110" s="9" t="s">
        <v>23</v>
      </c>
      <c r="M110">
        <v>1.031895E-2</v>
      </c>
      <c r="N110">
        <v>298.55</v>
      </c>
      <c r="P110" t="s">
        <v>29</v>
      </c>
      <c r="Q110">
        <f t="shared" si="3"/>
        <v>1.890947150818767</v>
      </c>
      <c r="R110">
        <f t="shared" si="4"/>
        <v>-2.2640003414020264E-3</v>
      </c>
      <c r="S110">
        <f t="shared" si="5"/>
        <v>6.7582099743344068E-5</v>
      </c>
    </row>
    <row r="111" spans="1:19" x14ac:dyDescent="0.2">
      <c r="A111" s="1">
        <v>45943</v>
      </c>
      <c r="B111" t="s">
        <v>17</v>
      </c>
      <c r="C111" t="s">
        <v>21</v>
      </c>
      <c r="D111" t="s">
        <v>37</v>
      </c>
      <c r="E111" s="8">
        <v>2</v>
      </c>
      <c r="F111" t="s">
        <v>13</v>
      </c>
      <c r="G111" s="4">
        <v>-2.01E-2</v>
      </c>
      <c r="H111" s="4">
        <v>0.69969999999999999</v>
      </c>
      <c r="I111" s="4">
        <v>2.6135000000000002</v>
      </c>
      <c r="J111" s="2" t="s">
        <v>16</v>
      </c>
      <c r="K111" s="9" t="s">
        <v>23</v>
      </c>
      <c r="P111" t="s">
        <v>29</v>
      </c>
      <c r="Q111">
        <f t="shared" si="3"/>
        <v>0</v>
      </c>
      <c r="R111">
        <f t="shared" si="4"/>
        <v>0</v>
      </c>
      <c r="S111">
        <f t="shared" si="5"/>
        <v>0</v>
      </c>
    </row>
    <row r="112" spans="1:19" x14ac:dyDescent="0.2">
      <c r="A112" s="1">
        <v>45943</v>
      </c>
      <c r="B112" t="s">
        <v>17</v>
      </c>
      <c r="C112" t="s">
        <v>21</v>
      </c>
      <c r="D112" t="s">
        <v>37</v>
      </c>
      <c r="E112" s="8">
        <v>2</v>
      </c>
      <c r="F112" t="s">
        <v>14</v>
      </c>
      <c r="G112" s="4">
        <v>5.9999999999999995E-4</v>
      </c>
      <c r="H112" s="4">
        <v>0.31009999999999999</v>
      </c>
      <c r="I112" s="4">
        <v>0.31509999999999999</v>
      </c>
      <c r="J112" s="2" t="s">
        <v>16</v>
      </c>
      <c r="K112" s="9" t="s">
        <v>23</v>
      </c>
      <c r="P112" t="s">
        <v>29</v>
      </c>
      <c r="Q112">
        <f t="shared" si="3"/>
        <v>0</v>
      </c>
      <c r="R112">
        <f t="shared" si="4"/>
        <v>0</v>
      </c>
      <c r="S112">
        <f t="shared" si="5"/>
        <v>0</v>
      </c>
    </row>
    <row r="113" spans="1:19" x14ac:dyDescent="0.2">
      <c r="A113" s="1">
        <v>45943</v>
      </c>
      <c r="B113" t="s">
        <v>17</v>
      </c>
      <c r="C113" t="s">
        <v>21</v>
      </c>
      <c r="D113" t="s">
        <v>38</v>
      </c>
      <c r="E113" s="8">
        <v>3</v>
      </c>
      <c r="F113" t="s">
        <v>10</v>
      </c>
      <c r="G113" s="9">
        <v>6.4328000000000003</v>
      </c>
      <c r="H113" s="4">
        <v>0.72650000000000003</v>
      </c>
      <c r="I113" s="4">
        <v>531.25</v>
      </c>
      <c r="J113" s="2" t="s">
        <v>16</v>
      </c>
      <c r="K113" s="9" t="s">
        <v>23</v>
      </c>
      <c r="M113">
        <v>1.0380769E-2</v>
      </c>
      <c r="N113">
        <v>298.05</v>
      </c>
      <c r="P113" t="s">
        <v>29</v>
      </c>
      <c r="Q113">
        <f t="shared" si="3"/>
        <v>0.72769023848417747</v>
      </c>
      <c r="R113">
        <f t="shared" si="4"/>
        <v>-1.9796323799081434E-3</v>
      </c>
      <c r="S113">
        <f t="shared" si="5"/>
        <v>8.0316513699130393E-4</v>
      </c>
    </row>
    <row r="114" spans="1:19" x14ac:dyDescent="0.2">
      <c r="A114" s="1">
        <v>45943</v>
      </c>
      <c r="B114" t="s">
        <v>17</v>
      </c>
      <c r="C114" t="s">
        <v>21</v>
      </c>
      <c r="D114" t="s">
        <v>38</v>
      </c>
      <c r="E114" s="8">
        <v>3</v>
      </c>
      <c r="F114" t="s">
        <v>13</v>
      </c>
      <c r="G114" s="9">
        <v>-1.7500000000000002E-2</v>
      </c>
      <c r="H114" s="4">
        <v>0.60540000000000005</v>
      </c>
      <c r="I114" s="4">
        <v>2.6505000000000001</v>
      </c>
      <c r="J114" s="2" t="s">
        <v>16</v>
      </c>
      <c r="K114" s="9" t="s">
        <v>23</v>
      </c>
      <c r="P114" t="s">
        <v>29</v>
      </c>
      <c r="Q114">
        <f t="shared" si="3"/>
        <v>0</v>
      </c>
      <c r="R114">
        <f t="shared" si="4"/>
        <v>0</v>
      </c>
      <c r="S114">
        <f t="shared" si="5"/>
        <v>0</v>
      </c>
    </row>
    <row r="115" spans="1:19" x14ac:dyDescent="0.2">
      <c r="A115" s="1">
        <v>45943</v>
      </c>
      <c r="B115" t="s">
        <v>17</v>
      </c>
      <c r="C115" t="s">
        <v>21</v>
      </c>
      <c r="D115" t="s">
        <v>38</v>
      </c>
      <c r="E115" s="8">
        <v>3</v>
      </c>
      <c r="F115" t="s">
        <v>14</v>
      </c>
      <c r="G115" s="4">
        <v>7.1000000000000004E-3</v>
      </c>
      <c r="H115" s="4">
        <v>0.8982</v>
      </c>
      <c r="I115" s="4">
        <v>0.28589999999999999</v>
      </c>
      <c r="J115" s="2" t="s">
        <v>16</v>
      </c>
      <c r="K115" s="9" t="s">
        <v>23</v>
      </c>
      <c r="P115" t="s">
        <v>29</v>
      </c>
      <c r="Q115">
        <f t="shared" si="3"/>
        <v>0</v>
      </c>
      <c r="R115">
        <f t="shared" si="4"/>
        <v>0</v>
      </c>
      <c r="S115">
        <f t="shared" si="5"/>
        <v>0</v>
      </c>
    </row>
    <row r="116" spans="1:19" x14ac:dyDescent="0.2">
      <c r="A116" s="1">
        <v>45943</v>
      </c>
      <c r="B116" t="s">
        <v>17</v>
      </c>
      <c r="C116" t="s">
        <v>21</v>
      </c>
      <c r="D116" t="s">
        <v>35</v>
      </c>
      <c r="E116" s="8">
        <v>4</v>
      </c>
      <c r="F116" t="s">
        <v>10</v>
      </c>
      <c r="G116" s="4">
        <v>23.856999999999999</v>
      </c>
      <c r="H116" s="4">
        <v>0.99980000000000002</v>
      </c>
      <c r="I116" s="4">
        <v>539.44000000000005</v>
      </c>
      <c r="J116" s="2" t="s">
        <v>11</v>
      </c>
      <c r="K116" s="9" t="s">
        <v>23</v>
      </c>
      <c r="M116">
        <v>1.031895E-2</v>
      </c>
      <c r="N116">
        <v>298.39999999999998</v>
      </c>
      <c r="P116" t="s">
        <v>29</v>
      </c>
      <c r="Q116">
        <f t="shared" si="3"/>
        <v>2.6858268086158912</v>
      </c>
      <c r="R116">
        <f t="shared" si="4"/>
        <v>-2.026444337305028E-4</v>
      </c>
      <c r="S116">
        <f t="shared" si="5"/>
        <v>7.8806168672973303E-4</v>
      </c>
    </row>
    <row r="117" spans="1:19" x14ac:dyDescent="0.2">
      <c r="A117" s="1">
        <v>45943</v>
      </c>
      <c r="B117" t="s">
        <v>17</v>
      </c>
      <c r="C117" t="s">
        <v>21</v>
      </c>
      <c r="D117" t="s">
        <v>35</v>
      </c>
      <c r="E117" s="8">
        <v>4</v>
      </c>
      <c r="F117" t="s">
        <v>13</v>
      </c>
      <c r="G117" s="4">
        <v>-1.8E-3</v>
      </c>
      <c r="H117" s="4">
        <v>0.55900000000000005</v>
      </c>
      <c r="I117" s="4">
        <v>2.3008999999999999</v>
      </c>
      <c r="J117" s="2" t="s">
        <v>16</v>
      </c>
      <c r="K117" s="9" t="s">
        <v>23</v>
      </c>
      <c r="P117" t="s">
        <v>29</v>
      </c>
      <c r="Q117">
        <f t="shared" si="3"/>
        <v>0</v>
      </c>
      <c r="R117">
        <f t="shared" si="4"/>
        <v>0</v>
      </c>
      <c r="S117">
        <f t="shared" si="5"/>
        <v>0</v>
      </c>
    </row>
    <row r="118" spans="1:19" x14ac:dyDescent="0.2">
      <c r="A118" s="1">
        <v>45943</v>
      </c>
      <c r="B118" t="s">
        <v>17</v>
      </c>
      <c r="C118" t="s">
        <v>21</v>
      </c>
      <c r="D118" t="s">
        <v>35</v>
      </c>
      <c r="E118" s="8">
        <v>4</v>
      </c>
      <c r="F118" t="s">
        <v>14</v>
      </c>
      <c r="G118" s="4">
        <v>7.0000000000000001E-3</v>
      </c>
      <c r="H118" s="4">
        <v>0.63519999999999999</v>
      </c>
      <c r="I118" s="4">
        <v>0.37330000000000002</v>
      </c>
      <c r="J118" s="2" t="s">
        <v>16</v>
      </c>
      <c r="K118" s="9" t="s">
        <v>23</v>
      </c>
      <c r="P118" t="s">
        <v>29</v>
      </c>
      <c r="Q118">
        <f t="shared" si="3"/>
        <v>0</v>
      </c>
      <c r="R118">
        <f t="shared" si="4"/>
        <v>0</v>
      </c>
      <c r="S118">
        <f t="shared" si="5"/>
        <v>0</v>
      </c>
    </row>
    <row r="119" spans="1:19" x14ac:dyDescent="0.2">
      <c r="A119" s="1">
        <v>45943</v>
      </c>
      <c r="B119" t="s">
        <v>17</v>
      </c>
      <c r="C119" t="s">
        <v>21</v>
      </c>
      <c r="D119" t="s">
        <v>34</v>
      </c>
      <c r="E119" s="8">
        <v>5</v>
      </c>
      <c r="F119" t="s">
        <v>10</v>
      </c>
      <c r="G119" s="4">
        <v>26.242000000000001</v>
      </c>
      <c r="H119" s="4">
        <v>0.99509999999999998</v>
      </c>
      <c r="I119" s="4">
        <v>519.24</v>
      </c>
      <c r="J119" s="2" t="s">
        <v>11</v>
      </c>
      <c r="K119" s="9" t="s">
        <v>23</v>
      </c>
      <c r="M119">
        <v>9.8614840000000002E-3</v>
      </c>
      <c r="N119">
        <v>298.10000000000002</v>
      </c>
      <c r="P119" t="s">
        <v>29</v>
      </c>
      <c r="Q119">
        <f t="shared" si="3"/>
        <v>2.820518993159479</v>
      </c>
      <c r="R119">
        <f t="shared" si="4"/>
        <v>6.9862714181604345E-4</v>
      </c>
      <c r="S119">
        <f t="shared" si="5"/>
        <v>2.1066295353222237E-3</v>
      </c>
    </row>
    <row r="120" spans="1:19" x14ac:dyDescent="0.2">
      <c r="A120" s="1">
        <v>45943</v>
      </c>
      <c r="B120" t="s">
        <v>17</v>
      </c>
      <c r="C120" t="s">
        <v>21</v>
      </c>
      <c r="D120" t="s">
        <v>34</v>
      </c>
      <c r="E120" s="8">
        <v>5</v>
      </c>
      <c r="F120" t="s">
        <v>13</v>
      </c>
      <c r="G120" s="4">
        <v>6.4999999999999997E-3</v>
      </c>
      <c r="H120" s="4">
        <v>0.18029999999999999</v>
      </c>
      <c r="I120" s="4">
        <v>2.3420000000000001</v>
      </c>
      <c r="J120" s="2" t="s">
        <v>16</v>
      </c>
      <c r="K120" s="9" t="s">
        <v>23</v>
      </c>
      <c r="M120" s="7"/>
      <c r="P120" t="s">
        <v>29</v>
      </c>
      <c r="Q120">
        <f t="shared" si="3"/>
        <v>0</v>
      </c>
      <c r="R120">
        <f t="shared" si="4"/>
        <v>0</v>
      </c>
      <c r="S120">
        <f t="shared" si="5"/>
        <v>0</v>
      </c>
    </row>
    <row r="121" spans="1:19" x14ac:dyDescent="0.2">
      <c r="A121" s="1">
        <v>45943</v>
      </c>
      <c r="B121" t="s">
        <v>17</v>
      </c>
      <c r="C121" t="s">
        <v>21</v>
      </c>
      <c r="D121" t="s">
        <v>34</v>
      </c>
      <c r="E121" s="8">
        <v>5</v>
      </c>
      <c r="F121" t="s">
        <v>14</v>
      </c>
      <c r="G121" s="4">
        <v>1.9599999999999999E-2</v>
      </c>
      <c r="H121" s="4">
        <v>0.996</v>
      </c>
      <c r="I121" s="4">
        <v>0.28260000000000002</v>
      </c>
      <c r="J121" s="2" t="s">
        <v>11</v>
      </c>
      <c r="K121" s="9" t="s">
        <v>23</v>
      </c>
      <c r="M121" s="7"/>
      <c r="P121" t="s">
        <v>29</v>
      </c>
      <c r="Q121">
        <f t="shared" si="3"/>
        <v>0</v>
      </c>
      <c r="R121">
        <f t="shared" si="4"/>
        <v>0</v>
      </c>
      <c r="S121">
        <f t="shared" si="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8C89-D3A6-F14D-BD4E-C17EC7C67DB9}">
  <dimension ref="A1:S61"/>
  <sheetViews>
    <sheetView workbookViewId="0">
      <selection activeCell="F8" sqref="F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33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25</v>
      </c>
      <c r="N1" t="s">
        <v>26</v>
      </c>
      <c r="O1" t="s">
        <v>27</v>
      </c>
      <c r="P1" t="s">
        <v>28</v>
      </c>
      <c r="Q1" t="s">
        <v>30</v>
      </c>
      <c r="R1" t="s">
        <v>31</v>
      </c>
      <c r="S1" t="s">
        <v>32</v>
      </c>
    </row>
    <row r="2" spans="1:19" x14ac:dyDescent="0.2">
      <c r="A2" s="1">
        <v>45943</v>
      </c>
      <c r="B2" t="s">
        <v>17</v>
      </c>
      <c r="C2" t="s">
        <v>18</v>
      </c>
      <c r="D2" t="s">
        <v>34</v>
      </c>
      <c r="E2">
        <v>1</v>
      </c>
      <c r="F2" t="s">
        <v>10</v>
      </c>
      <c r="G2">
        <v>0</v>
      </c>
      <c r="H2" s="6">
        <v>0</v>
      </c>
      <c r="I2">
        <v>0</v>
      </c>
      <c r="K2" t="s">
        <v>15</v>
      </c>
      <c r="M2">
        <v>1.0380769E-2</v>
      </c>
      <c r="N2">
        <v>295.45</v>
      </c>
      <c r="P2" t="s">
        <v>29</v>
      </c>
      <c r="Q2">
        <v>0</v>
      </c>
      <c r="R2">
        <v>0</v>
      </c>
      <c r="S2">
        <v>0</v>
      </c>
    </row>
    <row r="3" spans="1:19" x14ac:dyDescent="0.2">
      <c r="A3" s="1">
        <v>45943</v>
      </c>
      <c r="B3" t="s">
        <v>17</v>
      </c>
      <c r="C3" t="s">
        <v>18</v>
      </c>
      <c r="D3" t="s">
        <v>34</v>
      </c>
      <c r="E3">
        <v>1</v>
      </c>
      <c r="F3" t="s">
        <v>13</v>
      </c>
      <c r="G3">
        <v>0</v>
      </c>
      <c r="H3" s="6">
        <v>0</v>
      </c>
      <c r="I3">
        <v>0</v>
      </c>
      <c r="K3" t="s">
        <v>12</v>
      </c>
      <c r="P3" t="s">
        <v>29</v>
      </c>
      <c r="Q3">
        <v>0</v>
      </c>
      <c r="R3">
        <v>0</v>
      </c>
      <c r="S3">
        <v>0</v>
      </c>
    </row>
    <row r="4" spans="1:19" x14ac:dyDescent="0.2">
      <c r="A4" s="1">
        <v>45943</v>
      </c>
      <c r="B4" t="s">
        <v>17</v>
      </c>
      <c r="C4" t="s">
        <v>18</v>
      </c>
      <c r="D4" t="s">
        <v>34</v>
      </c>
      <c r="E4">
        <v>1</v>
      </c>
      <c r="F4" t="s">
        <v>14</v>
      </c>
      <c r="G4">
        <v>0</v>
      </c>
      <c r="H4" s="6">
        <v>0</v>
      </c>
      <c r="I4">
        <v>0</v>
      </c>
      <c r="K4" t="s">
        <v>15</v>
      </c>
      <c r="P4" t="s">
        <v>29</v>
      </c>
      <c r="Q4">
        <v>0</v>
      </c>
      <c r="R4">
        <v>0</v>
      </c>
      <c r="S4">
        <v>0</v>
      </c>
    </row>
    <row r="5" spans="1:19" x14ac:dyDescent="0.2">
      <c r="A5" s="1">
        <v>45943</v>
      </c>
      <c r="B5" t="s">
        <v>17</v>
      </c>
      <c r="C5" t="s">
        <v>18</v>
      </c>
      <c r="D5" t="s">
        <v>35</v>
      </c>
      <c r="E5">
        <v>2</v>
      </c>
      <c r="F5" t="s">
        <v>10</v>
      </c>
      <c r="G5">
        <v>9.8055000000000003</v>
      </c>
      <c r="H5" s="6">
        <v>0.73619999999999997</v>
      </c>
      <c r="I5">
        <v>639.14</v>
      </c>
      <c r="J5" t="s">
        <v>16</v>
      </c>
      <c r="K5" t="s">
        <v>23</v>
      </c>
      <c r="M5">
        <v>1.025713E-2</v>
      </c>
      <c r="N5">
        <v>295.10000000000002</v>
      </c>
      <c r="P5" t="s">
        <v>29</v>
      </c>
      <c r="Q5">
        <f>(101325*M5/8.314*N5*0.05)*(G5/1000000*60)</f>
        <v>1.0851572100934124</v>
      </c>
      <c r="R5">
        <f>(101325*M5/8.314*N5*0.05)*(G6/1000000*60)</f>
        <v>-1.8481592380357951E-3</v>
      </c>
      <c r="S5">
        <f>(101325*M5/8.314*N5*0.05)*(G7/1000000*60)</f>
        <v>5.8654155458621039E-4</v>
      </c>
    </row>
    <row r="6" spans="1:19" x14ac:dyDescent="0.2">
      <c r="A6" s="1">
        <v>45943</v>
      </c>
      <c r="B6" t="s">
        <v>17</v>
      </c>
      <c r="C6" t="s">
        <v>18</v>
      </c>
      <c r="D6" t="s">
        <v>35</v>
      </c>
      <c r="E6">
        <v>2</v>
      </c>
      <c r="F6" t="s">
        <v>13</v>
      </c>
      <c r="G6">
        <v>-1.67E-2</v>
      </c>
      <c r="H6" s="6">
        <v>0.98770000000000002</v>
      </c>
      <c r="I6">
        <v>2.8008000000000002</v>
      </c>
      <c r="J6" t="s">
        <v>11</v>
      </c>
      <c r="K6" t="s">
        <v>23</v>
      </c>
      <c r="P6" t="s">
        <v>29</v>
      </c>
      <c r="Q6">
        <f t="shared" ref="Q6:Q61" si="0">(101325*M6/8.314*N6*0.05)*(G6/1000000*60)</f>
        <v>0</v>
      </c>
      <c r="R6">
        <f t="shared" ref="R6:R61" si="1">(101325*M6/8.314*N6*0.05)*(G7/1000000*60)</f>
        <v>0</v>
      </c>
      <c r="S6">
        <f t="shared" ref="S6:S61" si="2">(101325*M6/8.314*N6*0.05)*(G8/1000000*60)</f>
        <v>0</v>
      </c>
    </row>
    <row r="7" spans="1:19" x14ac:dyDescent="0.2">
      <c r="A7" s="1">
        <v>45943</v>
      </c>
      <c r="B7" t="s">
        <v>17</v>
      </c>
      <c r="C7" t="s">
        <v>18</v>
      </c>
      <c r="D7" t="s">
        <v>35</v>
      </c>
      <c r="E7">
        <v>2</v>
      </c>
      <c r="F7" t="s">
        <v>14</v>
      </c>
      <c r="G7">
        <v>5.3E-3</v>
      </c>
      <c r="H7" s="6">
        <v>0.99250000000000005</v>
      </c>
      <c r="I7">
        <v>0.31069999999999998</v>
      </c>
      <c r="J7" t="s">
        <v>11</v>
      </c>
      <c r="K7" t="s">
        <v>23</v>
      </c>
      <c r="P7" t="s">
        <v>29</v>
      </c>
      <c r="Q7">
        <f t="shared" si="0"/>
        <v>0</v>
      </c>
      <c r="R7">
        <f t="shared" si="1"/>
        <v>0</v>
      </c>
      <c r="S7">
        <f t="shared" si="2"/>
        <v>0</v>
      </c>
    </row>
    <row r="8" spans="1:19" x14ac:dyDescent="0.2">
      <c r="A8" s="1">
        <v>45943</v>
      </c>
      <c r="B8" t="s">
        <v>17</v>
      </c>
      <c r="C8" t="s">
        <v>18</v>
      </c>
      <c r="D8" t="s">
        <v>36</v>
      </c>
      <c r="E8">
        <v>3</v>
      </c>
      <c r="F8" t="s">
        <v>10</v>
      </c>
      <c r="G8">
        <v>21.074999999999999</v>
      </c>
      <c r="H8" s="6">
        <v>0.93600000000000005</v>
      </c>
      <c r="I8">
        <v>619.21</v>
      </c>
      <c r="J8" t="s">
        <v>11</v>
      </c>
      <c r="K8" t="s">
        <v>23</v>
      </c>
      <c r="M8">
        <v>1.025713E-2</v>
      </c>
      <c r="N8">
        <v>295.7</v>
      </c>
      <c r="P8" t="s">
        <v>29</v>
      </c>
      <c r="Q8">
        <f t="shared" si="0"/>
        <v>2.3370748111230766</v>
      </c>
      <c r="R8">
        <f t="shared" si="1"/>
        <v>5.5446614736016056E-5</v>
      </c>
      <c r="S8">
        <f t="shared" si="2"/>
        <v>2.2733112041766583E-3</v>
      </c>
    </row>
    <row r="9" spans="1:19" x14ac:dyDescent="0.2">
      <c r="A9" s="1">
        <v>45943</v>
      </c>
      <c r="B9" t="s">
        <v>17</v>
      </c>
      <c r="C9" t="s">
        <v>18</v>
      </c>
      <c r="D9" t="s">
        <v>36</v>
      </c>
      <c r="E9">
        <v>3</v>
      </c>
      <c r="F9" t="s">
        <v>13</v>
      </c>
      <c r="G9">
        <v>5.0000000000000001E-4</v>
      </c>
      <c r="H9" s="6">
        <v>1.1000000000000001E-3</v>
      </c>
      <c r="I9">
        <v>2.4975000000000001</v>
      </c>
      <c r="J9" t="s">
        <v>16</v>
      </c>
      <c r="K9" t="s">
        <v>23</v>
      </c>
      <c r="P9" t="s">
        <v>29</v>
      </c>
      <c r="Q9">
        <f t="shared" si="0"/>
        <v>0</v>
      </c>
      <c r="R9">
        <f t="shared" si="1"/>
        <v>0</v>
      </c>
      <c r="S9">
        <f t="shared" si="2"/>
        <v>0</v>
      </c>
    </row>
    <row r="10" spans="1:19" x14ac:dyDescent="0.2">
      <c r="A10" s="1">
        <v>45943</v>
      </c>
      <c r="B10" t="s">
        <v>17</v>
      </c>
      <c r="C10" t="s">
        <v>18</v>
      </c>
      <c r="D10" t="s">
        <v>36</v>
      </c>
      <c r="E10">
        <v>3</v>
      </c>
      <c r="F10" t="s">
        <v>14</v>
      </c>
      <c r="G10">
        <v>2.0500000000000001E-2</v>
      </c>
      <c r="H10" s="6">
        <v>0.91830000000000001</v>
      </c>
      <c r="I10">
        <v>0.30330000000000001</v>
      </c>
      <c r="J10" t="s">
        <v>16</v>
      </c>
      <c r="K10" t="s">
        <v>23</v>
      </c>
      <c r="P10" t="s">
        <v>29</v>
      </c>
      <c r="Q10">
        <f t="shared" si="0"/>
        <v>0</v>
      </c>
      <c r="R10">
        <f t="shared" si="1"/>
        <v>0</v>
      </c>
      <c r="S10">
        <f t="shared" si="2"/>
        <v>0</v>
      </c>
    </row>
    <row r="11" spans="1:19" x14ac:dyDescent="0.2">
      <c r="A11" s="1">
        <v>45943</v>
      </c>
      <c r="B11" t="s">
        <v>17</v>
      </c>
      <c r="C11" t="s">
        <v>18</v>
      </c>
      <c r="D11" t="s">
        <v>37</v>
      </c>
      <c r="E11">
        <v>4</v>
      </c>
      <c r="F11" t="s">
        <v>10</v>
      </c>
      <c r="G11">
        <v>5.2491000000000003</v>
      </c>
      <c r="H11" s="6">
        <v>1</v>
      </c>
      <c r="I11">
        <v>534.6</v>
      </c>
      <c r="J11" t="s">
        <v>11</v>
      </c>
      <c r="K11" t="s">
        <v>23</v>
      </c>
      <c r="M11">
        <v>9.5771129999999999E-3</v>
      </c>
      <c r="N11">
        <v>295.3</v>
      </c>
      <c r="P11" t="s">
        <v>29</v>
      </c>
      <c r="Q11">
        <f t="shared" si="0"/>
        <v>0.54276364722401371</v>
      </c>
      <c r="R11">
        <f t="shared" si="1"/>
        <v>-1.5406790390043632E-3</v>
      </c>
      <c r="S11">
        <f t="shared" si="2"/>
        <v>6.6176817782737758E-4</v>
      </c>
    </row>
    <row r="12" spans="1:19" x14ac:dyDescent="0.2">
      <c r="A12" s="1">
        <v>45943</v>
      </c>
      <c r="B12" t="s">
        <v>17</v>
      </c>
      <c r="C12" t="s">
        <v>18</v>
      </c>
      <c r="D12" t="s">
        <v>37</v>
      </c>
      <c r="E12">
        <v>4</v>
      </c>
      <c r="F12" t="s">
        <v>13</v>
      </c>
      <c r="G12">
        <v>-1.49E-2</v>
      </c>
      <c r="H12" s="6">
        <v>0.85640000000000005</v>
      </c>
      <c r="I12">
        <v>2.6903999999999999</v>
      </c>
      <c r="J12" t="s">
        <v>16</v>
      </c>
      <c r="K12" t="s">
        <v>23</v>
      </c>
      <c r="P12" t="s">
        <v>29</v>
      </c>
      <c r="Q12">
        <f t="shared" si="0"/>
        <v>0</v>
      </c>
      <c r="R12">
        <f t="shared" si="1"/>
        <v>0</v>
      </c>
      <c r="S12">
        <f t="shared" si="2"/>
        <v>0</v>
      </c>
    </row>
    <row r="13" spans="1:19" x14ac:dyDescent="0.2">
      <c r="A13" s="1">
        <v>45943</v>
      </c>
      <c r="B13" t="s">
        <v>17</v>
      </c>
      <c r="C13" t="s">
        <v>18</v>
      </c>
      <c r="D13" t="s">
        <v>37</v>
      </c>
      <c r="E13">
        <v>4</v>
      </c>
      <c r="F13" t="s">
        <v>14</v>
      </c>
      <c r="G13">
        <v>6.4000000000000003E-3</v>
      </c>
      <c r="H13" s="6">
        <v>0.98919999999999997</v>
      </c>
      <c r="I13">
        <v>0.25240000000000001</v>
      </c>
      <c r="J13" t="s">
        <v>11</v>
      </c>
      <c r="K13" t="s">
        <v>23</v>
      </c>
      <c r="P13" t="s">
        <v>29</v>
      </c>
      <c r="Q13">
        <f t="shared" si="0"/>
        <v>0</v>
      </c>
      <c r="R13">
        <f t="shared" si="1"/>
        <v>0</v>
      </c>
      <c r="S13">
        <f t="shared" si="2"/>
        <v>0</v>
      </c>
    </row>
    <row r="14" spans="1:19" x14ac:dyDescent="0.2">
      <c r="A14" s="1">
        <v>45943</v>
      </c>
      <c r="B14" t="s">
        <v>17</v>
      </c>
      <c r="C14" t="s">
        <v>18</v>
      </c>
      <c r="D14" t="s">
        <v>38</v>
      </c>
      <c r="E14">
        <v>5</v>
      </c>
      <c r="F14" t="s">
        <v>10</v>
      </c>
      <c r="G14">
        <v>6.8139000000000003</v>
      </c>
      <c r="H14" s="6">
        <v>0.99709999999999999</v>
      </c>
      <c r="I14">
        <v>516.96</v>
      </c>
      <c r="J14" t="s">
        <v>11</v>
      </c>
      <c r="K14" t="s">
        <v>24</v>
      </c>
      <c r="M14">
        <v>1.013349E-2</v>
      </c>
      <c r="N14">
        <v>295.5</v>
      </c>
      <c r="P14" t="s">
        <v>29</v>
      </c>
      <c r="Q14">
        <f t="shared" si="0"/>
        <v>0.74600223921673259</v>
      </c>
      <c r="R14">
        <f t="shared" si="1"/>
        <v>-1.7955116340354885E-3</v>
      </c>
      <c r="S14">
        <f t="shared" si="2"/>
        <v>2.7370604177370247E-4</v>
      </c>
    </row>
    <row r="15" spans="1:19" x14ac:dyDescent="0.2">
      <c r="A15" s="1">
        <v>45943</v>
      </c>
      <c r="B15" t="s">
        <v>17</v>
      </c>
      <c r="C15" t="s">
        <v>18</v>
      </c>
      <c r="D15" t="s">
        <v>38</v>
      </c>
      <c r="E15">
        <v>5</v>
      </c>
      <c r="F15" t="s">
        <v>13</v>
      </c>
      <c r="G15">
        <v>-1.6400000000000001E-2</v>
      </c>
      <c r="H15" s="6">
        <v>0.82789999999999997</v>
      </c>
      <c r="I15">
        <v>2.5882000000000001</v>
      </c>
      <c r="J15" t="s">
        <v>16</v>
      </c>
      <c r="K15" t="s">
        <v>15</v>
      </c>
      <c r="P15" t="s">
        <v>29</v>
      </c>
      <c r="Q15">
        <f t="shared" si="0"/>
        <v>0</v>
      </c>
      <c r="R15">
        <f t="shared" si="1"/>
        <v>0</v>
      </c>
      <c r="S15">
        <f t="shared" si="2"/>
        <v>0</v>
      </c>
    </row>
    <row r="16" spans="1:19" x14ac:dyDescent="0.2">
      <c r="A16" s="1">
        <v>45943</v>
      </c>
      <c r="B16" t="s">
        <v>17</v>
      </c>
      <c r="C16" t="s">
        <v>18</v>
      </c>
      <c r="D16" t="s">
        <v>38</v>
      </c>
      <c r="E16">
        <v>5</v>
      </c>
      <c r="F16" t="s">
        <v>14</v>
      </c>
      <c r="G16">
        <v>2.5000000000000001E-3</v>
      </c>
      <c r="H16" s="6">
        <v>0.99660000000000004</v>
      </c>
      <c r="I16">
        <v>0.2586</v>
      </c>
      <c r="J16" t="s">
        <v>11</v>
      </c>
      <c r="P16" t="s">
        <v>29</v>
      </c>
      <c r="Q16">
        <f t="shared" si="0"/>
        <v>0</v>
      </c>
      <c r="R16">
        <f t="shared" si="1"/>
        <v>0</v>
      </c>
      <c r="S16">
        <f t="shared" si="2"/>
        <v>0</v>
      </c>
    </row>
    <row r="17" spans="1:19" x14ac:dyDescent="0.2">
      <c r="A17" s="1">
        <v>45943</v>
      </c>
      <c r="B17" t="s">
        <v>17</v>
      </c>
      <c r="C17" t="s">
        <v>19</v>
      </c>
      <c r="D17" t="s">
        <v>35</v>
      </c>
      <c r="E17">
        <v>1</v>
      </c>
      <c r="F17" t="s">
        <v>10</v>
      </c>
      <c r="G17" s="2">
        <v>30.728999999999999</v>
      </c>
      <c r="H17" s="2">
        <v>0.95230000000000004</v>
      </c>
      <c r="I17" s="3">
        <v>599.07000000000005</v>
      </c>
      <c r="J17" t="s">
        <v>11</v>
      </c>
      <c r="M17">
        <v>9.8862110000000007E-3</v>
      </c>
      <c r="N17">
        <v>300.14999999999998</v>
      </c>
      <c r="P17" t="s">
        <v>29</v>
      </c>
      <c r="Q17">
        <f t="shared" si="0"/>
        <v>3.3338380377150023</v>
      </c>
      <c r="R17">
        <f t="shared" si="1"/>
        <v>-9.6557514190710812E-4</v>
      </c>
      <c r="S17">
        <f t="shared" si="2"/>
        <v>2.2783233685448622E-3</v>
      </c>
    </row>
    <row r="18" spans="1:19" x14ac:dyDescent="0.2">
      <c r="A18" s="1">
        <v>45943</v>
      </c>
      <c r="B18" t="s">
        <v>17</v>
      </c>
      <c r="C18" t="s">
        <v>19</v>
      </c>
      <c r="D18" t="s">
        <v>35</v>
      </c>
      <c r="E18">
        <v>1</v>
      </c>
      <c r="F18" t="s">
        <v>13</v>
      </c>
      <c r="G18" s="2">
        <v>-8.8999999999999999E-3</v>
      </c>
      <c r="H18" s="2">
        <v>0.98860000000000003</v>
      </c>
      <c r="I18" s="3">
        <v>2.5325000000000002</v>
      </c>
      <c r="J18" t="s">
        <v>11</v>
      </c>
      <c r="K18" t="s">
        <v>12</v>
      </c>
      <c r="P18" t="s">
        <v>29</v>
      </c>
      <c r="Q18">
        <f t="shared" si="0"/>
        <v>0</v>
      </c>
      <c r="R18">
        <f t="shared" si="1"/>
        <v>0</v>
      </c>
      <c r="S18">
        <f t="shared" si="2"/>
        <v>0</v>
      </c>
    </row>
    <row r="19" spans="1:19" x14ac:dyDescent="0.2">
      <c r="A19" s="1">
        <v>45943</v>
      </c>
      <c r="B19" t="s">
        <v>17</v>
      </c>
      <c r="C19" t="s">
        <v>19</v>
      </c>
      <c r="D19" t="s">
        <v>35</v>
      </c>
      <c r="E19">
        <v>1</v>
      </c>
      <c r="F19" t="s">
        <v>14</v>
      </c>
      <c r="G19" s="2">
        <v>2.1000000000000001E-2</v>
      </c>
      <c r="H19" s="2">
        <v>0.97260000000000002</v>
      </c>
      <c r="I19" s="4">
        <v>0.31230000000000002</v>
      </c>
      <c r="J19" t="s">
        <v>11</v>
      </c>
      <c r="P19" t="s">
        <v>29</v>
      </c>
      <c r="Q19">
        <f t="shared" si="0"/>
        <v>0</v>
      </c>
      <c r="R19">
        <f t="shared" si="1"/>
        <v>0</v>
      </c>
      <c r="S19">
        <f t="shared" si="2"/>
        <v>0</v>
      </c>
    </row>
    <row r="20" spans="1:19" x14ac:dyDescent="0.2">
      <c r="A20" s="1">
        <v>45943</v>
      </c>
      <c r="B20" t="s">
        <v>17</v>
      </c>
      <c r="C20" t="s">
        <v>19</v>
      </c>
      <c r="D20" t="s">
        <v>37</v>
      </c>
      <c r="E20">
        <v>2</v>
      </c>
      <c r="F20" t="s">
        <v>10</v>
      </c>
      <c r="G20" s="2">
        <v>10.396000000000001</v>
      </c>
      <c r="H20" s="2">
        <v>0.99790000000000001</v>
      </c>
      <c r="I20" s="4">
        <v>548.08000000000004</v>
      </c>
      <c r="J20" t="s">
        <v>11</v>
      </c>
      <c r="M20">
        <v>1.0071671000000001E-2</v>
      </c>
      <c r="N20">
        <v>301.14999999999998</v>
      </c>
      <c r="P20" t="s">
        <v>29</v>
      </c>
      <c r="Q20">
        <f t="shared" si="0"/>
        <v>1.1528651631108802</v>
      </c>
      <c r="R20">
        <f t="shared" si="1"/>
        <v>-1.5968890293186488E-3</v>
      </c>
      <c r="S20">
        <f t="shared" si="2"/>
        <v>3.3268521444138516E-4</v>
      </c>
    </row>
    <row r="21" spans="1:19" x14ac:dyDescent="0.2">
      <c r="A21" s="1">
        <v>45943</v>
      </c>
      <c r="B21" t="s">
        <v>17</v>
      </c>
      <c r="C21" t="s">
        <v>19</v>
      </c>
      <c r="D21" t="s">
        <v>37</v>
      </c>
      <c r="E21">
        <v>2</v>
      </c>
      <c r="F21" t="s">
        <v>13</v>
      </c>
      <c r="G21" s="2">
        <v>-1.44E-2</v>
      </c>
      <c r="H21" s="2">
        <v>0.93989999999999996</v>
      </c>
      <c r="I21" s="4">
        <v>2.7098</v>
      </c>
      <c r="J21" t="s">
        <v>11</v>
      </c>
      <c r="K21" t="s">
        <v>15</v>
      </c>
      <c r="P21" t="s">
        <v>29</v>
      </c>
      <c r="Q21">
        <f t="shared" si="0"/>
        <v>0</v>
      </c>
      <c r="R21">
        <f t="shared" si="1"/>
        <v>0</v>
      </c>
      <c r="S21">
        <f t="shared" si="2"/>
        <v>0</v>
      </c>
    </row>
    <row r="22" spans="1:19" x14ac:dyDescent="0.2">
      <c r="A22" s="1">
        <v>45943</v>
      </c>
      <c r="B22" t="s">
        <v>17</v>
      </c>
      <c r="C22" t="s">
        <v>19</v>
      </c>
      <c r="D22" t="s">
        <v>37</v>
      </c>
      <c r="E22">
        <v>2</v>
      </c>
      <c r="F22" t="s">
        <v>14</v>
      </c>
      <c r="G22" s="2">
        <v>3.0000000000000001E-3</v>
      </c>
      <c r="H22" s="2">
        <v>0.90039999999999998</v>
      </c>
      <c r="I22" s="4">
        <v>0.29730000000000001</v>
      </c>
      <c r="J22" t="s">
        <v>11</v>
      </c>
      <c r="K22" t="s">
        <v>15</v>
      </c>
      <c r="P22" t="s">
        <v>29</v>
      </c>
      <c r="Q22">
        <f t="shared" si="0"/>
        <v>0</v>
      </c>
      <c r="R22">
        <f t="shared" si="1"/>
        <v>0</v>
      </c>
      <c r="S22">
        <f t="shared" si="2"/>
        <v>0</v>
      </c>
    </row>
    <row r="23" spans="1:19" x14ac:dyDescent="0.2">
      <c r="A23" s="1">
        <v>45943</v>
      </c>
      <c r="B23" t="s">
        <v>17</v>
      </c>
      <c r="C23" t="s">
        <v>19</v>
      </c>
      <c r="D23" t="s">
        <v>38</v>
      </c>
      <c r="E23">
        <v>3</v>
      </c>
      <c r="F23" t="s">
        <v>10</v>
      </c>
      <c r="G23" s="2">
        <v>9.4817999999999998</v>
      </c>
      <c r="H23" s="4">
        <v>0.98650000000000004</v>
      </c>
      <c r="I23" s="4">
        <v>499.87</v>
      </c>
      <c r="J23" t="s">
        <v>11</v>
      </c>
      <c r="M23">
        <v>1.0764052E-2</v>
      </c>
      <c r="N23">
        <v>301.35000000000002</v>
      </c>
      <c r="P23" t="s">
        <v>29</v>
      </c>
      <c r="Q23">
        <f t="shared" si="0"/>
        <v>1.1245159515183236</v>
      </c>
      <c r="R23">
        <f t="shared" si="1"/>
        <v>9.2505899954048009E-4</v>
      </c>
      <c r="S23">
        <f t="shared" si="2"/>
        <v>2.016154229767713E-4</v>
      </c>
    </row>
    <row r="24" spans="1:19" x14ac:dyDescent="0.2">
      <c r="A24" s="1">
        <v>45943</v>
      </c>
      <c r="B24" t="s">
        <v>17</v>
      </c>
      <c r="C24" t="s">
        <v>19</v>
      </c>
      <c r="D24" t="s">
        <v>38</v>
      </c>
      <c r="E24">
        <v>3</v>
      </c>
      <c r="F24" t="s">
        <v>13</v>
      </c>
      <c r="G24" s="2">
        <v>7.7999999999999996E-3</v>
      </c>
      <c r="H24" s="2">
        <v>0.92120000000000002</v>
      </c>
      <c r="I24" s="4">
        <v>2.4239999999999999</v>
      </c>
      <c r="J24" t="s">
        <v>16</v>
      </c>
      <c r="K24" t="s">
        <v>12</v>
      </c>
      <c r="P24" t="s">
        <v>29</v>
      </c>
      <c r="Q24">
        <f t="shared" si="0"/>
        <v>0</v>
      </c>
      <c r="R24">
        <f t="shared" si="1"/>
        <v>0</v>
      </c>
      <c r="S24">
        <f t="shared" si="2"/>
        <v>0</v>
      </c>
    </row>
    <row r="25" spans="1:19" x14ac:dyDescent="0.2">
      <c r="A25" s="1">
        <v>45943</v>
      </c>
      <c r="B25" t="s">
        <v>17</v>
      </c>
      <c r="C25" t="s">
        <v>19</v>
      </c>
      <c r="D25" t="s">
        <v>38</v>
      </c>
      <c r="E25">
        <v>3</v>
      </c>
      <c r="F25" t="s">
        <v>14</v>
      </c>
      <c r="G25" s="2">
        <v>1.6999999999999999E-3</v>
      </c>
      <c r="H25" s="4">
        <v>0.99870000000000003</v>
      </c>
      <c r="I25" s="4">
        <v>0.29210000000000003</v>
      </c>
      <c r="J25" t="s">
        <v>11</v>
      </c>
      <c r="K25" t="s">
        <v>12</v>
      </c>
      <c r="P25" t="s">
        <v>29</v>
      </c>
      <c r="Q25">
        <f t="shared" si="0"/>
        <v>0</v>
      </c>
      <c r="R25">
        <f t="shared" si="1"/>
        <v>0</v>
      </c>
      <c r="S25">
        <f t="shared" si="2"/>
        <v>0</v>
      </c>
    </row>
    <row r="26" spans="1:19" x14ac:dyDescent="0.2">
      <c r="A26" s="1">
        <v>45943</v>
      </c>
      <c r="B26" t="s">
        <v>17</v>
      </c>
      <c r="C26" t="s">
        <v>19</v>
      </c>
      <c r="D26" t="s">
        <v>34</v>
      </c>
      <c r="E26">
        <v>4</v>
      </c>
      <c r="F26" t="s">
        <v>10</v>
      </c>
      <c r="G26" s="2">
        <v>25.594999999999999</v>
      </c>
      <c r="H26" s="4">
        <v>0.9899</v>
      </c>
      <c r="I26" s="4">
        <v>525.41999999999996</v>
      </c>
      <c r="M26">
        <v>9.9480309999999995E-3</v>
      </c>
      <c r="N26">
        <v>300.39999999999998</v>
      </c>
      <c r="P26" t="s">
        <v>29</v>
      </c>
      <c r="Q26">
        <f t="shared" si="0"/>
        <v>2.7965335835053571</v>
      </c>
      <c r="R26">
        <f t="shared" si="1"/>
        <v>-2.9500451945553688E-4</v>
      </c>
      <c r="S26">
        <f t="shared" si="2"/>
        <v>1.3220572908933315E-3</v>
      </c>
    </row>
    <row r="27" spans="1:19" x14ac:dyDescent="0.2">
      <c r="A27" s="1">
        <v>45943</v>
      </c>
      <c r="B27" t="s">
        <v>17</v>
      </c>
      <c r="C27" t="s">
        <v>19</v>
      </c>
      <c r="D27" t="s">
        <v>34</v>
      </c>
      <c r="E27">
        <v>4</v>
      </c>
      <c r="F27" t="s">
        <v>13</v>
      </c>
      <c r="G27" s="2">
        <v>-2.7000000000000001E-3</v>
      </c>
      <c r="H27" s="4">
        <v>0.98429999999999995</v>
      </c>
      <c r="I27" s="4">
        <v>2.3561000000000001</v>
      </c>
      <c r="J27" t="s">
        <v>11</v>
      </c>
      <c r="K27" t="s">
        <v>12</v>
      </c>
      <c r="P27" t="s">
        <v>29</v>
      </c>
      <c r="Q27">
        <f t="shared" si="0"/>
        <v>0</v>
      </c>
      <c r="R27">
        <f t="shared" si="1"/>
        <v>0</v>
      </c>
      <c r="S27">
        <f t="shared" si="2"/>
        <v>0</v>
      </c>
    </row>
    <row r="28" spans="1:19" x14ac:dyDescent="0.2">
      <c r="A28" s="1">
        <v>45943</v>
      </c>
      <c r="B28" t="s">
        <v>17</v>
      </c>
      <c r="C28" t="s">
        <v>19</v>
      </c>
      <c r="D28" t="s">
        <v>34</v>
      </c>
      <c r="E28">
        <v>4</v>
      </c>
      <c r="F28" t="s">
        <v>14</v>
      </c>
      <c r="G28" s="2">
        <v>1.21E-2</v>
      </c>
      <c r="H28" s="2">
        <v>0.91620000000000001</v>
      </c>
      <c r="I28" s="4">
        <v>0.26869999999999999</v>
      </c>
      <c r="J28" t="s">
        <v>11</v>
      </c>
      <c r="P28" t="s">
        <v>29</v>
      </c>
      <c r="Q28">
        <f t="shared" si="0"/>
        <v>0</v>
      </c>
      <c r="R28">
        <f t="shared" si="1"/>
        <v>0</v>
      </c>
      <c r="S28">
        <f t="shared" si="2"/>
        <v>0</v>
      </c>
    </row>
    <row r="29" spans="1:19" x14ac:dyDescent="0.2">
      <c r="A29" s="1">
        <v>45943</v>
      </c>
      <c r="B29" t="s">
        <v>17</v>
      </c>
      <c r="C29" t="s">
        <v>19</v>
      </c>
      <c r="D29" t="s">
        <v>36</v>
      </c>
      <c r="E29">
        <v>5</v>
      </c>
      <c r="F29" t="s">
        <v>10</v>
      </c>
      <c r="G29" s="2">
        <v>17.100000000000001</v>
      </c>
      <c r="H29" s="2">
        <v>0.95120000000000005</v>
      </c>
      <c r="I29" s="4">
        <v>566.94000000000005</v>
      </c>
      <c r="J29" t="s">
        <v>11</v>
      </c>
      <c r="K29" t="s">
        <v>15</v>
      </c>
      <c r="M29">
        <v>1.0380769E-2</v>
      </c>
      <c r="N29">
        <v>300.45</v>
      </c>
      <c r="P29" t="s">
        <v>29</v>
      </c>
      <c r="Q29">
        <f t="shared" si="0"/>
        <v>1.9499599549629103</v>
      </c>
      <c r="R29">
        <f t="shared" si="1"/>
        <v>-1.9385566803724834E-4</v>
      </c>
      <c r="S29">
        <f t="shared" si="2"/>
        <v>2.3376712910374068E-3</v>
      </c>
    </row>
    <row r="30" spans="1:19" x14ac:dyDescent="0.2">
      <c r="A30" s="1">
        <v>45943</v>
      </c>
      <c r="B30" t="s">
        <v>17</v>
      </c>
      <c r="C30" t="s">
        <v>19</v>
      </c>
      <c r="D30" t="s">
        <v>36</v>
      </c>
      <c r="E30">
        <v>5</v>
      </c>
      <c r="F30" t="s">
        <v>13</v>
      </c>
      <c r="G30" s="3">
        <v>-1.6999999999999999E-3</v>
      </c>
      <c r="H30" s="4">
        <v>0.85119999999999996</v>
      </c>
      <c r="I30" s="4">
        <v>2.3237999999999999</v>
      </c>
      <c r="J30" t="s">
        <v>16</v>
      </c>
      <c r="K30" t="s">
        <v>12</v>
      </c>
      <c r="P30" t="s">
        <v>29</v>
      </c>
      <c r="Q30">
        <f t="shared" si="0"/>
        <v>0</v>
      </c>
      <c r="R30">
        <f t="shared" si="1"/>
        <v>0</v>
      </c>
      <c r="S30">
        <f t="shared" si="2"/>
        <v>0</v>
      </c>
    </row>
    <row r="31" spans="1:19" x14ac:dyDescent="0.2">
      <c r="A31" s="1">
        <v>45943</v>
      </c>
      <c r="B31" t="s">
        <v>17</v>
      </c>
      <c r="C31" t="s">
        <v>19</v>
      </c>
      <c r="D31" t="s">
        <v>36</v>
      </c>
      <c r="E31">
        <v>5</v>
      </c>
      <c r="F31" t="s">
        <v>14</v>
      </c>
      <c r="G31" s="2">
        <v>2.0500000000000001E-2</v>
      </c>
      <c r="H31" s="4">
        <v>0.94530000000000003</v>
      </c>
      <c r="I31" s="4">
        <v>0.27879999999999999</v>
      </c>
      <c r="J31" t="s">
        <v>11</v>
      </c>
      <c r="K31" t="s">
        <v>15</v>
      </c>
      <c r="P31" t="s">
        <v>29</v>
      </c>
      <c r="Q31">
        <f t="shared" si="0"/>
        <v>0</v>
      </c>
      <c r="R31">
        <f t="shared" si="1"/>
        <v>0</v>
      </c>
      <c r="S31">
        <f t="shared" si="2"/>
        <v>0</v>
      </c>
    </row>
    <row r="32" spans="1:19" x14ac:dyDescent="0.2">
      <c r="A32" s="1">
        <v>45943</v>
      </c>
      <c r="B32" t="s">
        <v>17</v>
      </c>
      <c r="C32" t="s">
        <v>20</v>
      </c>
      <c r="D32" t="s">
        <v>36</v>
      </c>
      <c r="E32" s="8">
        <v>1</v>
      </c>
      <c r="F32" t="s">
        <v>10</v>
      </c>
      <c r="G32" s="3">
        <v>16.361000000000001</v>
      </c>
      <c r="H32" s="4">
        <v>0.98699999999999999</v>
      </c>
      <c r="I32" s="4">
        <v>563.71</v>
      </c>
      <c r="J32" t="s">
        <v>11</v>
      </c>
      <c r="K32" t="s">
        <v>15</v>
      </c>
      <c r="M32">
        <v>1.0442589E-2</v>
      </c>
      <c r="N32">
        <v>295</v>
      </c>
      <c r="P32" t="s">
        <v>29</v>
      </c>
      <c r="Q32">
        <f t="shared" si="0"/>
        <v>1.8427562503558859</v>
      </c>
      <c r="R32">
        <f t="shared" si="1"/>
        <v>-1.2411939294005171E-3</v>
      </c>
      <c r="S32">
        <f t="shared" si="2"/>
        <v>9.6862684145593867E-4</v>
      </c>
    </row>
    <row r="33" spans="1:19" x14ac:dyDescent="0.2">
      <c r="A33" s="1">
        <v>45943</v>
      </c>
      <c r="B33" t="s">
        <v>17</v>
      </c>
      <c r="C33" t="s">
        <v>20</v>
      </c>
      <c r="D33" t="s">
        <v>36</v>
      </c>
      <c r="E33" s="8">
        <v>1</v>
      </c>
      <c r="F33" t="s">
        <v>13</v>
      </c>
      <c r="G33" s="3">
        <v>-1.102E-2</v>
      </c>
      <c r="H33" s="2">
        <v>0.98109999999999997</v>
      </c>
      <c r="I33" s="4">
        <v>2.6587000000000001</v>
      </c>
      <c r="J33" t="s">
        <v>11</v>
      </c>
      <c r="K33" t="s">
        <v>12</v>
      </c>
      <c r="P33" t="s">
        <v>29</v>
      </c>
      <c r="Q33">
        <f t="shared" si="0"/>
        <v>0</v>
      </c>
      <c r="R33">
        <f t="shared" si="1"/>
        <v>0</v>
      </c>
      <c r="S33">
        <f t="shared" si="2"/>
        <v>0</v>
      </c>
    </row>
    <row r="34" spans="1:19" x14ac:dyDescent="0.2">
      <c r="A34" s="1">
        <v>45943</v>
      </c>
      <c r="B34" t="s">
        <v>17</v>
      </c>
      <c r="C34" t="s">
        <v>20</v>
      </c>
      <c r="D34" t="s">
        <v>36</v>
      </c>
      <c r="E34" s="8">
        <v>1</v>
      </c>
      <c r="F34" t="s">
        <v>14</v>
      </c>
      <c r="G34" s="3">
        <v>8.6E-3</v>
      </c>
      <c r="H34" s="4">
        <v>0.98480000000000001</v>
      </c>
      <c r="I34" s="4">
        <v>0.28970000000000001</v>
      </c>
      <c r="J34" t="s">
        <v>11</v>
      </c>
      <c r="K34" t="s">
        <v>15</v>
      </c>
      <c r="P34" t="s">
        <v>29</v>
      </c>
      <c r="Q34">
        <f t="shared" si="0"/>
        <v>0</v>
      </c>
      <c r="R34">
        <f t="shared" si="1"/>
        <v>0</v>
      </c>
      <c r="S34">
        <f t="shared" si="2"/>
        <v>0</v>
      </c>
    </row>
    <row r="35" spans="1:19" x14ac:dyDescent="0.2">
      <c r="A35" s="1">
        <v>45943</v>
      </c>
      <c r="B35" t="s">
        <v>17</v>
      </c>
      <c r="C35" t="s">
        <v>20</v>
      </c>
      <c r="D35" t="s">
        <v>38</v>
      </c>
      <c r="E35" s="8">
        <v>2</v>
      </c>
      <c r="F35" t="s">
        <v>10</v>
      </c>
      <c r="G35" s="3">
        <v>7.4592999999999998</v>
      </c>
      <c r="H35" s="4">
        <v>0.99909999999999999</v>
      </c>
      <c r="I35" s="4">
        <v>514.66</v>
      </c>
      <c r="J35" t="s">
        <v>11</v>
      </c>
      <c r="M35">
        <v>1.0195310000000001E-2</v>
      </c>
      <c r="N35">
        <v>295.2</v>
      </c>
      <c r="P35" t="s">
        <v>29</v>
      </c>
      <c r="Q35">
        <f t="shared" si="0"/>
        <v>0.82081013393758862</v>
      </c>
      <c r="R35">
        <f t="shared" si="1"/>
        <v>-4.7866744635937835E-3</v>
      </c>
      <c r="S35">
        <f t="shared" si="2"/>
        <v>7.1525020720366868E-4</v>
      </c>
    </row>
    <row r="36" spans="1:19" x14ac:dyDescent="0.2">
      <c r="A36" s="1">
        <v>45943</v>
      </c>
      <c r="B36" t="s">
        <v>17</v>
      </c>
      <c r="C36" t="s">
        <v>20</v>
      </c>
      <c r="D36" t="s">
        <v>38</v>
      </c>
      <c r="E36" s="8">
        <v>2</v>
      </c>
      <c r="F36" t="s">
        <v>13</v>
      </c>
      <c r="G36" s="3">
        <v>-4.3499999999999997E-2</v>
      </c>
      <c r="H36" s="2">
        <v>0.83809999999999996</v>
      </c>
      <c r="I36" s="4">
        <v>2.6465999999999998</v>
      </c>
      <c r="J36" t="s">
        <v>16</v>
      </c>
      <c r="K36" t="s">
        <v>12</v>
      </c>
      <c r="P36" t="s">
        <v>29</v>
      </c>
      <c r="Q36">
        <f t="shared" si="0"/>
        <v>0</v>
      </c>
      <c r="R36">
        <f t="shared" si="1"/>
        <v>0</v>
      </c>
      <c r="S36">
        <f t="shared" si="2"/>
        <v>0</v>
      </c>
    </row>
    <row r="37" spans="1:19" x14ac:dyDescent="0.2">
      <c r="A37" s="1">
        <v>45943</v>
      </c>
      <c r="B37" t="s">
        <v>17</v>
      </c>
      <c r="C37" t="s">
        <v>20</v>
      </c>
      <c r="D37" t="s">
        <v>38</v>
      </c>
      <c r="E37" s="8">
        <v>2</v>
      </c>
      <c r="F37" t="s">
        <v>14</v>
      </c>
      <c r="G37" s="4">
        <v>6.4999999999999997E-3</v>
      </c>
      <c r="H37" s="2">
        <v>0.97509999999999997</v>
      </c>
      <c r="I37" s="9">
        <v>0.32940000000000003</v>
      </c>
      <c r="J37" t="s">
        <v>11</v>
      </c>
      <c r="K37" t="s">
        <v>12</v>
      </c>
      <c r="P37" t="s">
        <v>29</v>
      </c>
      <c r="Q37">
        <f t="shared" si="0"/>
        <v>0</v>
      </c>
      <c r="R37">
        <f t="shared" si="1"/>
        <v>0</v>
      </c>
      <c r="S37">
        <f t="shared" si="2"/>
        <v>0</v>
      </c>
    </row>
    <row r="38" spans="1:19" x14ac:dyDescent="0.2">
      <c r="A38" s="1">
        <v>45943</v>
      </c>
      <c r="B38" t="s">
        <v>17</v>
      </c>
      <c r="C38" t="s">
        <v>20</v>
      </c>
      <c r="D38" t="s">
        <v>34</v>
      </c>
      <c r="E38" s="8">
        <v>3</v>
      </c>
      <c r="F38" t="s">
        <v>10</v>
      </c>
      <c r="G38" s="4">
        <v>21.364999999999998</v>
      </c>
      <c r="H38" s="4">
        <v>0.99970000000000003</v>
      </c>
      <c r="I38" s="9">
        <v>514.67999999999995</v>
      </c>
      <c r="J38" t="s">
        <v>11</v>
      </c>
      <c r="M38">
        <v>1.013349E-2</v>
      </c>
      <c r="N38">
        <v>295.05</v>
      </c>
      <c r="P38" t="s">
        <v>29</v>
      </c>
      <c r="Q38">
        <f t="shared" si="0"/>
        <v>2.3355297642168464</v>
      </c>
      <c r="R38">
        <f t="shared" si="1"/>
        <v>-2.1316559982320856E-3</v>
      </c>
      <c r="S38">
        <f t="shared" si="2"/>
        <v>9.2918338384475523E-4</v>
      </c>
    </row>
    <row r="39" spans="1:19" x14ac:dyDescent="0.2">
      <c r="A39" s="1">
        <v>45943</v>
      </c>
      <c r="B39" t="s">
        <v>17</v>
      </c>
      <c r="C39" t="s">
        <v>20</v>
      </c>
      <c r="D39" t="s">
        <v>34</v>
      </c>
      <c r="E39" s="8">
        <v>3</v>
      </c>
      <c r="F39" t="s">
        <v>13</v>
      </c>
      <c r="G39" s="4">
        <v>-1.95E-2</v>
      </c>
      <c r="H39" s="2">
        <v>0.27710000000000001</v>
      </c>
      <c r="I39" s="4">
        <v>2.5171000000000001</v>
      </c>
      <c r="J39" t="s">
        <v>16</v>
      </c>
      <c r="K39" t="s">
        <v>15</v>
      </c>
      <c r="P39" t="s">
        <v>29</v>
      </c>
      <c r="Q39">
        <f t="shared" si="0"/>
        <v>0</v>
      </c>
      <c r="R39">
        <f t="shared" si="1"/>
        <v>0</v>
      </c>
      <c r="S39">
        <f t="shared" si="2"/>
        <v>0</v>
      </c>
    </row>
    <row r="40" spans="1:19" ht="19" x14ac:dyDescent="0.2">
      <c r="A40" s="1">
        <v>45943</v>
      </c>
      <c r="B40" t="s">
        <v>17</v>
      </c>
      <c r="C40" t="s">
        <v>20</v>
      </c>
      <c r="D40" t="s">
        <v>34</v>
      </c>
      <c r="E40" s="8">
        <v>3</v>
      </c>
      <c r="F40" t="s">
        <v>14</v>
      </c>
      <c r="G40" s="10">
        <v>8.5000000000000006E-3</v>
      </c>
      <c r="H40" s="4">
        <v>0.94750000000000001</v>
      </c>
      <c r="I40" s="4">
        <v>0.28489999999999999</v>
      </c>
      <c r="J40" s="5" t="s">
        <v>11</v>
      </c>
      <c r="P40" t="s">
        <v>29</v>
      </c>
      <c r="Q40">
        <f t="shared" si="0"/>
        <v>0</v>
      </c>
      <c r="R40">
        <f t="shared" si="1"/>
        <v>0</v>
      </c>
      <c r="S40">
        <f t="shared" si="2"/>
        <v>0</v>
      </c>
    </row>
    <row r="41" spans="1:19" x14ac:dyDescent="0.2">
      <c r="A41" s="1">
        <v>45943</v>
      </c>
      <c r="B41" t="s">
        <v>17</v>
      </c>
      <c r="C41" t="s">
        <v>20</v>
      </c>
      <c r="D41" t="s">
        <v>37</v>
      </c>
      <c r="E41" s="8">
        <v>4</v>
      </c>
      <c r="F41" t="s">
        <v>10</v>
      </c>
      <c r="G41" s="9">
        <v>12.54</v>
      </c>
      <c r="H41" s="2">
        <v>0.99939999999999996</v>
      </c>
      <c r="I41" s="9">
        <v>523.52</v>
      </c>
      <c r="J41" s="4" t="s">
        <v>11</v>
      </c>
      <c r="M41">
        <v>1.0071671000000001E-2</v>
      </c>
      <c r="N41">
        <v>294.55</v>
      </c>
      <c r="P41" t="s">
        <v>29</v>
      </c>
      <c r="Q41">
        <f t="shared" si="0"/>
        <v>1.3601472921776783</v>
      </c>
      <c r="R41">
        <f t="shared" si="1"/>
        <v>1.3666551739584332E-3</v>
      </c>
      <c r="S41">
        <f t="shared" si="2"/>
        <v>4.3385878538362957E-4</v>
      </c>
    </row>
    <row r="42" spans="1:19" x14ac:dyDescent="0.2">
      <c r="A42" s="1">
        <v>45943</v>
      </c>
      <c r="B42" t="s">
        <v>17</v>
      </c>
      <c r="C42" t="s">
        <v>20</v>
      </c>
      <c r="D42" t="s">
        <v>37</v>
      </c>
      <c r="E42" s="8">
        <v>4</v>
      </c>
      <c r="F42" t="s">
        <v>13</v>
      </c>
      <c r="G42" s="4">
        <v>1.26E-2</v>
      </c>
      <c r="H42" s="2">
        <v>0.98909999999999998</v>
      </c>
      <c r="I42" s="9">
        <v>2.3479999999999999</v>
      </c>
      <c r="J42" s="4" t="s">
        <v>11</v>
      </c>
      <c r="K42" t="s">
        <v>15</v>
      </c>
      <c r="P42" t="s">
        <v>29</v>
      </c>
      <c r="Q42">
        <f t="shared" si="0"/>
        <v>0</v>
      </c>
      <c r="R42">
        <f t="shared" si="1"/>
        <v>0</v>
      </c>
      <c r="S42">
        <f t="shared" si="2"/>
        <v>0</v>
      </c>
    </row>
    <row r="43" spans="1:19" x14ac:dyDescent="0.2">
      <c r="A43" s="1">
        <v>45943</v>
      </c>
      <c r="B43" t="s">
        <v>17</v>
      </c>
      <c r="C43" t="s">
        <v>20</v>
      </c>
      <c r="D43" t="s">
        <v>37</v>
      </c>
      <c r="E43" s="8">
        <v>4</v>
      </c>
      <c r="F43" t="s">
        <v>14</v>
      </c>
      <c r="G43" s="3">
        <v>4.0000000000000001E-3</v>
      </c>
      <c r="H43" s="2">
        <v>0.95650000000000002</v>
      </c>
      <c r="I43" s="9">
        <v>0.25559999999999999</v>
      </c>
      <c r="J43" s="2" t="s">
        <v>11</v>
      </c>
      <c r="P43" t="s">
        <v>29</v>
      </c>
      <c r="Q43">
        <f t="shared" si="0"/>
        <v>0</v>
      </c>
      <c r="R43">
        <f t="shared" si="1"/>
        <v>0</v>
      </c>
      <c r="S43">
        <f t="shared" si="2"/>
        <v>0</v>
      </c>
    </row>
    <row r="44" spans="1:19" x14ac:dyDescent="0.2">
      <c r="A44" s="1">
        <v>45943</v>
      </c>
      <c r="B44" t="s">
        <v>17</v>
      </c>
      <c r="C44" t="s">
        <v>20</v>
      </c>
      <c r="D44" t="s">
        <v>35</v>
      </c>
      <c r="E44" s="8">
        <v>5</v>
      </c>
      <c r="F44" t="s">
        <v>10</v>
      </c>
      <c r="G44" s="4">
        <v>38.478999999999999</v>
      </c>
      <c r="H44" s="2">
        <v>0.96850000000000003</v>
      </c>
      <c r="I44" s="9">
        <v>531.57000000000005</v>
      </c>
      <c r="J44" s="6" t="s">
        <v>11</v>
      </c>
      <c r="K44" t="s">
        <v>15</v>
      </c>
      <c r="M44">
        <v>1.0009851E-2</v>
      </c>
      <c r="N44">
        <v>295.14999999999998</v>
      </c>
      <c r="P44" t="s">
        <v>29</v>
      </c>
      <c r="Q44">
        <f t="shared" si="0"/>
        <v>4.1564448690515281</v>
      </c>
      <c r="R44">
        <f t="shared" si="1"/>
        <v>-1.6526834506221152E-3</v>
      </c>
      <c r="S44">
        <f t="shared" si="2"/>
        <v>2.5492372179530668E-3</v>
      </c>
    </row>
    <row r="45" spans="1:19" x14ac:dyDescent="0.2">
      <c r="A45" s="1">
        <v>45943</v>
      </c>
      <c r="B45" t="s">
        <v>17</v>
      </c>
      <c r="C45" t="s">
        <v>20</v>
      </c>
      <c r="D45" t="s">
        <v>35</v>
      </c>
      <c r="E45" s="8">
        <v>5</v>
      </c>
      <c r="F45" t="s">
        <v>13</v>
      </c>
      <c r="G45" s="4">
        <v>-1.5299999999999999E-2</v>
      </c>
      <c r="H45" s="2">
        <v>0.998</v>
      </c>
      <c r="I45" s="4">
        <v>2.4544000000000001</v>
      </c>
      <c r="J45" s="2" t="s">
        <v>11</v>
      </c>
      <c r="K45" t="s">
        <v>15</v>
      </c>
      <c r="P45" t="s">
        <v>29</v>
      </c>
      <c r="Q45">
        <f t="shared" si="0"/>
        <v>0</v>
      </c>
      <c r="R45">
        <f t="shared" si="1"/>
        <v>0</v>
      </c>
      <c r="S45">
        <f t="shared" si="2"/>
        <v>0</v>
      </c>
    </row>
    <row r="46" spans="1:19" x14ac:dyDescent="0.2">
      <c r="A46" s="1">
        <v>45943</v>
      </c>
      <c r="B46" t="s">
        <v>17</v>
      </c>
      <c r="C46" t="s">
        <v>20</v>
      </c>
      <c r="D46" t="s">
        <v>35</v>
      </c>
      <c r="E46" s="8">
        <v>5</v>
      </c>
      <c r="F46" t="s">
        <v>14</v>
      </c>
      <c r="G46" s="4">
        <v>2.3599999999999999E-2</v>
      </c>
      <c r="H46" s="4">
        <v>0.95930000000000004</v>
      </c>
      <c r="I46" s="4">
        <v>0.30669999999999997</v>
      </c>
      <c r="J46" s="2" t="s">
        <v>11</v>
      </c>
      <c r="K46" t="s">
        <v>15</v>
      </c>
      <c r="P46" t="s">
        <v>29</v>
      </c>
      <c r="Q46">
        <f t="shared" si="0"/>
        <v>0</v>
      </c>
      <c r="R46">
        <f t="shared" si="1"/>
        <v>0</v>
      </c>
      <c r="S46">
        <f t="shared" si="2"/>
        <v>0</v>
      </c>
    </row>
    <row r="47" spans="1:19" x14ac:dyDescent="0.2">
      <c r="A47" s="1">
        <v>45943</v>
      </c>
      <c r="B47" t="s">
        <v>17</v>
      </c>
      <c r="C47" t="s">
        <v>21</v>
      </c>
      <c r="D47" t="s">
        <v>36</v>
      </c>
      <c r="E47" s="8">
        <v>1</v>
      </c>
      <c r="F47" t="s">
        <v>10</v>
      </c>
      <c r="G47" s="4">
        <v>19.164999999999999</v>
      </c>
      <c r="H47" s="4">
        <v>0.93940000000000001</v>
      </c>
      <c r="I47" s="4">
        <v>574.87</v>
      </c>
      <c r="J47" s="2" t="s">
        <v>16</v>
      </c>
      <c r="K47" s="9" t="s">
        <v>23</v>
      </c>
      <c r="M47">
        <v>1.025713E-2</v>
      </c>
      <c r="N47">
        <v>297.45</v>
      </c>
      <c r="P47" t="s">
        <v>29</v>
      </c>
      <c r="Q47">
        <f t="shared" si="0"/>
        <v>2.1378464239270483</v>
      </c>
      <c r="R47">
        <f t="shared" si="1"/>
        <v>-1.7067075547134798E-3</v>
      </c>
      <c r="S47">
        <f t="shared" si="2"/>
        <v>1.5282283333055342E-3</v>
      </c>
    </row>
    <row r="48" spans="1:19" x14ac:dyDescent="0.2">
      <c r="A48" s="1">
        <v>45943</v>
      </c>
      <c r="B48" t="s">
        <v>17</v>
      </c>
      <c r="C48" t="s">
        <v>21</v>
      </c>
      <c r="D48" t="s">
        <v>36</v>
      </c>
      <c r="E48" s="8">
        <v>1</v>
      </c>
      <c r="F48" t="s">
        <v>13</v>
      </c>
      <c r="G48" s="4">
        <v>-1.5299999999999999E-2</v>
      </c>
      <c r="H48" s="4">
        <v>4.403E-2</v>
      </c>
      <c r="I48" s="4">
        <v>2.6593</v>
      </c>
      <c r="J48" s="2" t="s">
        <v>16</v>
      </c>
      <c r="K48" s="9" t="s">
        <v>23</v>
      </c>
      <c r="P48" t="s">
        <v>29</v>
      </c>
      <c r="Q48">
        <f t="shared" si="0"/>
        <v>0</v>
      </c>
      <c r="R48">
        <f t="shared" si="1"/>
        <v>0</v>
      </c>
      <c r="S48">
        <f t="shared" si="2"/>
        <v>0</v>
      </c>
    </row>
    <row r="49" spans="1:19" x14ac:dyDescent="0.2">
      <c r="A49" s="1">
        <v>45943</v>
      </c>
      <c r="B49" t="s">
        <v>17</v>
      </c>
      <c r="C49" t="s">
        <v>21</v>
      </c>
      <c r="D49" t="s">
        <v>36</v>
      </c>
      <c r="E49" s="8">
        <v>1</v>
      </c>
      <c r="F49" t="s">
        <v>14</v>
      </c>
      <c r="G49" s="4">
        <v>1.37E-2</v>
      </c>
      <c r="H49" s="4">
        <v>0.95609999999999995</v>
      </c>
      <c r="I49" s="4">
        <v>0.31340000000000001</v>
      </c>
      <c r="J49" s="2" t="s">
        <v>16</v>
      </c>
      <c r="K49" s="9" t="s">
        <v>23</v>
      </c>
      <c r="P49" t="s">
        <v>29</v>
      </c>
      <c r="Q49">
        <f t="shared" si="0"/>
        <v>0</v>
      </c>
      <c r="R49">
        <f t="shared" si="1"/>
        <v>0</v>
      </c>
      <c r="S49">
        <f t="shared" si="2"/>
        <v>0</v>
      </c>
    </row>
    <row r="50" spans="1:19" x14ac:dyDescent="0.2">
      <c r="A50" s="1">
        <v>45943</v>
      </c>
      <c r="B50" t="s">
        <v>17</v>
      </c>
      <c r="C50" t="s">
        <v>21</v>
      </c>
      <c r="D50" t="s">
        <v>37</v>
      </c>
      <c r="E50" s="8">
        <v>2</v>
      </c>
      <c r="F50" t="s">
        <v>10</v>
      </c>
      <c r="G50" s="4">
        <v>16.788</v>
      </c>
      <c r="H50" s="4">
        <v>0.99550000000000005</v>
      </c>
      <c r="I50" s="4">
        <v>563.67999999999995</v>
      </c>
      <c r="J50" s="2" t="s">
        <v>11</v>
      </c>
      <c r="K50" s="9" t="s">
        <v>23</v>
      </c>
      <c r="M50">
        <v>1.031895E-2</v>
      </c>
      <c r="N50">
        <v>298.55</v>
      </c>
      <c r="P50" t="s">
        <v>29</v>
      </c>
      <c r="Q50">
        <f t="shared" si="0"/>
        <v>1.890947150818767</v>
      </c>
      <c r="R50">
        <f t="shared" si="1"/>
        <v>-2.2640003414020264E-3</v>
      </c>
      <c r="S50">
        <f t="shared" si="2"/>
        <v>6.7582099743344068E-5</v>
      </c>
    </row>
    <row r="51" spans="1:19" x14ac:dyDescent="0.2">
      <c r="A51" s="1">
        <v>45943</v>
      </c>
      <c r="B51" t="s">
        <v>17</v>
      </c>
      <c r="C51" t="s">
        <v>21</v>
      </c>
      <c r="D51" t="s">
        <v>37</v>
      </c>
      <c r="E51" s="8">
        <v>2</v>
      </c>
      <c r="F51" t="s">
        <v>13</v>
      </c>
      <c r="G51" s="4">
        <v>-2.01E-2</v>
      </c>
      <c r="H51" s="4">
        <v>0.69969999999999999</v>
      </c>
      <c r="I51" s="4">
        <v>2.6135000000000002</v>
      </c>
      <c r="J51" s="2" t="s">
        <v>16</v>
      </c>
      <c r="K51" s="9" t="s">
        <v>23</v>
      </c>
      <c r="P51" t="s">
        <v>29</v>
      </c>
      <c r="Q51">
        <f t="shared" si="0"/>
        <v>0</v>
      </c>
      <c r="R51">
        <f t="shared" si="1"/>
        <v>0</v>
      </c>
      <c r="S51">
        <f t="shared" si="2"/>
        <v>0</v>
      </c>
    </row>
    <row r="52" spans="1:19" x14ac:dyDescent="0.2">
      <c r="A52" s="1">
        <v>45943</v>
      </c>
      <c r="B52" t="s">
        <v>17</v>
      </c>
      <c r="C52" t="s">
        <v>21</v>
      </c>
      <c r="D52" t="s">
        <v>37</v>
      </c>
      <c r="E52" s="8">
        <v>2</v>
      </c>
      <c r="F52" t="s">
        <v>14</v>
      </c>
      <c r="G52" s="4">
        <v>5.9999999999999995E-4</v>
      </c>
      <c r="H52" s="4">
        <v>0.31009999999999999</v>
      </c>
      <c r="I52" s="4">
        <v>0.31509999999999999</v>
      </c>
      <c r="J52" s="2" t="s">
        <v>16</v>
      </c>
      <c r="K52" s="9" t="s">
        <v>23</v>
      </c>
      <c r="P52" t="s">
        <v>29</v>
      </c>
      <c r="Q52">
        <f t="shared" si="0"/>
        <v>0</v>
      </c>
      <c r="R52">
        <f t="shared" si="1"/>
        <v>0</v>
      </c>
      <c r="S52">
        <f t="shared" si="2"/>
        <v>0</v>
      </c>
    </row>
    <row r="53" spans="1:19" x14ac:dyDescent="0.2">
      <c r="A53" s="1">
        <v>45943</v>
      </c>
      <c r="B53" t="s">
        <v>17</v>
      </c>
      <c r="C53" t="s">
        <v>21</v>
      </c>
      <c r="D53" t="s">
        <v>38</v>
      </c>
      <c r="E53" s="8">
        <v>3</v>
      </c>
      <c r="F53" t="s">
        <v>10</v>
      </c>
      <c r="G53" s="9">
        <v>6.4328000000000003</v>
      </c>
      <c r="H53" s="4">
        <v>0.72650000000000003</v>
      </c>
      <c r="I53" s="4">
        <v>531.25</v>
      </c>
      <c r="J53" s="2" t="s">
        <v>16</v>
      </c>
      <c r="K53" s="9" t="s">
        <v>23</v>
      </c>
      <c r="M53">
        <v>1.0380769E-2</v>
      </c>
      <c r="N53">
        <v>298.05</v>
      </c>
      <c r="P53" t="s">
        <v>29</v>
      </c>
      <c r="Q53">
        <f t="shared" si="0"/>
        <v>0.72769023848417747</v>
      </c>
      <c r="R53">
        <f t="shared" si="1"/>
        <v>-1.9796323799081434E-3</v>
      </c>
      <c r="S53">
        <f t="shared" si="2"/>
        <v>8.0316513699130393E-4</v>
      </c>
    </row>
    <row r="54" spans="1:19" x14ac:dyDescent="0.2">
      <c r="A54" s="1">
        <v>45943</v>
      </c>
      <c r="B54" t="s">
        <v>17</v>
      </c>
      <c r="C54" t="s">
        <v>21</v>
      </c>
      <c r="D54" t="s">
        <v>38</v>
      </c>
      <c r="E54" s="8">
        <v>3</v>
      </c>
      <c r="F54" t="s">
        <v>13</v>
      </c>
      <c r="G54" s="9">
        <v>-1.7500000000000002E-2</v>
      </c>
      <c r="H54" s="4">
        <v>0.60540000000000005</v>
      </c>
      <c r="I54" s="4">
        <v>2.6505000000000001</v>
      </c>
      <c r="J54" s="2" t="s">
        <v>16</v>
      </c>
      <c r="K54" s="9" t="s">
        <v>23</v>
      </c>
      <c r="P54" t="s">
        <v>29</v>
      </c>
      <c r="Q54">
        <f t="shared" si="0"/>
        <v>0</v>
      </c>
      <c r="R54">
        <f t="shared" si="1"/>
        <v>0</v>
      </c>
      <c r="S54">
        <f t="shared" si="2"/>
        <v>0</v>
      </c>
    </row>
    <row r="55" spans="1:19" x14ac:dyDescent="0.2">
      <c r="A55" s="1">
        <v>45943</v>
      </c>
      <c r="B55" t="s">
        <v>17</v>
      </c>
      <c r="C55" t="s">
        <v>21</v>
      </c>
      <c r="D55" t="s">
        <v>38</v>
      </c>
      <c r="E55" s="8">
        <v>3</v>
      </c>
      <c r="F55" t="s">
        <v>14</v>
      </c>
      <c r="G55" s="4">
        <v>7.1000000000000004E-3</v>
      </c>
      <c r="H55" s="4">
        <v>0.8982</v>
      </c>
      <c r="I55" s="4">
        <v>0.28589999999999999</v>
      </c>
      <c r="J55" s="2" t="s">
        <v>16</v>
      </c>
      <c r="K55" s="9" t="s">
        <v>23</v>
      </c>
      <c r="P55" t="s">
        <v>29</v>
      </c>
      <c r="Q55">
        <f t="shared" si="0"/>
        <v>0</v>
      </c>
      <c r="R55">
        <f t="shared" si="1"/>
        <v>0</v>
      </c>
      <c r="S55">
        <f t="shared" si="2"/>
        <v>0</v>
      </c>
    </row>
    <row r="56" spans="1:19" x14ac:dyDescent="0.2">
      <c r="A56" s="1">
        <v>45943</v>
      </c>
      <c r="B56" t="s">
        <v>17</v>
      </c>
      <c r="C56" t="s">
        <v>21</v>
      </c>
      <c r="D56" t="s">
        <v>35</v>
      </c>
      <c r="E56" s="8">
        <v>4</v>
      </c>
      <c r="F56" t="s">
        <v>10</v>
      </c>
      <c r="G56" s="4">
        <v>23.856999999999999</v>
      </c>
      <c r="H56" s="4">
        <v>0.99980000000000002</v>
      </c>
      <c r="I56" s="4">
        <v>539.44000000000005</v>
      </c>
      <c r="J56" s="2" t="s">
        <v>11</v>
      </c>
      <c r="K56" s="9" t="s">
        <v>23</v>
      </c>
      <c r="M56">
        <v>1.031895E-2</v>
      </c>
      <c r="N56">
        <v>298.39999999999998</v>
      </c>
      <c r="P56" t="s">
        <v>29</v>
      </c>
      <c r="Q56">
        <f t="shared" si="0"/>
        <v>2.6858268086158912</v>
      </c>
      <c r="R56">
        <f t="shared" si="1"/>
        <v>-2.026444337305028E-4</v>
      </c>
      <c r="S56">
        <f t="shared" si="2"/>
        <v>7.8806168672973303E-4</v>
      </c>
    </row>
    <row r="57" spans="1:19" x14ac:dyDescent="0.2">
      <c r="A57" s="1">
        <v>45943</v>
      </c>
      <c r="B57" t="s">
        <v>17</v>
      </c>
      <c r="C57" t="s">
        <v>21</v>
      </c>
      <c r="D57" t="s">
        <v>35</v>
      </c>
      <c r="E57" s="8">
        <v>4</v>
      </c>
      <c r="F57" t="s">
        <v>13</v>
      </c>
      <c r="G57" s="4">
        <v>-1.8E-3</v>
      </c>
      <c r="H57" s="4">
        <v>0.55900000000000005</v>
      </c>
      <c r="I57" s="4">
        <v>2.3008999999999999</v>
      </c>
      <c r="J57" s="2" t="s">
        <v>16</v>
      </c>
      <c r="K57" s="9" t="s">
        <v>23</v>
      </c>
      <c r="P57" t="s">
        <v>29</v>
      </c>
      <c r="Q57">
        <f t="shared" si="0"/>
        <v>0</v>
      </c>
      <c r="R57">
        <f t="shared" si="1"/>
        <v>0</v>
      </c>
      <c r="S57">
        <f t="shared" si="2"/>
        <v>0</v>
      </c>
    </row>
    <row r="58" spans="1:19" x14ac:dyDescent="0.2">
      <c r="A58" s="1">
        <v>45943</v>
      </c>
      <c r="B58" t="s">
        <v>17</v>
      </c>
      <c r="C58" t="s">
        <v>21</v>
      </c>
      <c r="D58" t="s">
        <v>35</v>
      </c>
      <c r="E58" s="8">
        <v>4</v>
      </c>
      <c r="F58" t="s">
        <v>14</v>
      </c>
      <c r="G58" s="4">
        <v>7.0000000000000001E-3</v>
      </c>
      <c r="H58" s="4">
        <v>0.63519999999999999</v>
      </c>
      <c r="I58" s="4">
        <v>0.37330000000000002</v>
      </c>
      <c r="J58" s="2" t="s">
        <v>16</v>
      </c>
      <c r="K58" s="9" t="s">
        <v>23</v>
      </c>
      <c r="P58" t="s">
        <v>29</v>
      </c>
      <c r="Q58">
        <f t="shared" si="0"/>
        <v>0</v>
      </c>
      <c r="R58">
        <f t="shared" si="1"/>
        <v>0</v>
      </c>
      <c r="S58">
        <f t="shared" si="2"/>
        <v>0</v>
      </c>
    </row>
    <row r="59" spans="1:19" x14ac:dyDescent="0.2">
      <c r="A59" s="1">
        <v>45943</v>
      </c>
      <c r="B59" t="s">
        <v>17</v>
      </c>
      <c r="C59" t="s">
        <v>21</v>
      </c>
      <c r="D59" t="s">
        <v>34</v>
      </c>
      <c r="E59" s="8">
        <v>5</v>
      </c>
      <c r="F59" t="s">
        <v>10</v>
      </c>
      <c r="G59" s="4">
        <v>26.242000000000001</v>
      </c>
      <c r="H59" s="4">
        <v>0.99509999999999998</v>
      </c>
      <c r="I59" s="4">
        <v>519.24</v>
      </c>
      <c r="J59" s="2" t="s">
        <v>11</v>
      </c>
      <c r="K59" s="9" t="s">
        <v>23</v>
      </c>
      <c r="M59">
        <v>9.8614840000000002E-3</v>
      </c>
      <c r="N59">
        <v>298.10000000000002</v>
      </c>
      <c r="P59" t="s">
        <v>29</v>
      </c>
      <c r="Q59">
        <f t="shared" si="0"/>
        <v>2.820518993159479</v>
      </c>
      <c r="R59">
        <f t="shared" si="1"/>
        <v>6.9862714181604345E-4</v>
      </c>
      <c r="S59">
        <f t="shared" si="2"/>
        <v>2.1066295353222237E-3</v>
      </c>
    </row>
    <row r="60" spans="1:19" x14ac:dyDescent="0.2">
      <c r="A60" s="1">
        <v>45943</v>
      </c>
      <c r="B60" t="s">
        <v>17</v>
      </c>
      <c r="C60" t="s">
        <v>21</v>
      </c>
      <c r="D60" t="s">
        <v>34</v>
      </c>
      <c r="E60" s="8">
        <v>5</v>
      </c>
      <c r="F60" t="s">
        <v>13</v>
      </c>
      <c r="G60" s="4">
        <v>6.4999999999999997E-3</v>
      </c>
      <c r="H60" s="4">
        <v>0.18029999999999999</v>
      </c>
      <c r="I60" s="4">
        <v>2.3420000000000001</v>
      </c>
      <c r="J60" s="2" t="s">
        <v>16</v>
      </c>
      <c r="K60" s="9" t="s">
        <v>23</v>
      </c>
      <c r="M60" s="7"/>
      <c r="P60" t="s">
        <v>29</v>
      </c>
      <c r="Q60">
        <f t="shared" si="0"/>
        <v>0</v>
      </c>
      <c r="R60">
        <f t="shared" si="1"/>
        <v>0</v>
      </c>
      <c r="S60">
        <f t="shared" si="2"/>
        <v>0</v>
      </c>
    </row>
    <row r="61" spans="1:19" x14ac:dyDescent="0.2">
      <c r="A61" s="1">
        <v>45943</v>
      </c>
      <c r="B61" t="s">
        <v>17</v>
      </c>
      <c r="C61" t="s">
        <v>21</v>
      </c>
      <c r="D61" t="s">
        <v>34</v>
      </c>
      <c r="E61" s="8">
        <v>5</v>
      </c>
      <c r="F61" t="s">
        <v>14</v>
      </c>
      <c r="G61" s="4">
        <v>1.9599999999999999E-2</v>
      </c>
      <c r="H61" s="4">
        <v>0.996</v>
      </c>
      <c r="I61" s="4">
        <v>0.28260000000000002</v>
      </c>
      <c r="J61" s="2" t="s">
        <v>11</v>
      </c>
      <c r="K61" s="9" t="s">
        <v>23</v>
      </c>
      <c r="M61" s="7"/>
      <c r="P61" t="s">
        <v>29</v>
      </c>
      <c r="Q61">
        <f t="shared" si="0"/>
        <v>0</v>
      </c>
      <c r="R61">
        <f t="shared" si="1"/>
        <v>0</v>
      </c>
      <c r="S61">
        <f t="shared" si="2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25-10-02</vt:lpstr>
      <vt:lpstr>10-13-25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Francois, Junior</dc:creator>
  <cp:lastModifiedBy>Francois, Junior</cp:lastModifiedBy>
  <dcterms:created xsi:type="dcterms:W3CDTF">2026-03-11T00:13:22Z</dcterms:created>
  <dcterms:modified xsi:type="dcterms:W3CDTF">2026-03-19T18:21:48Z</dcterms:modified>
</cp:coreProperties>
</file>